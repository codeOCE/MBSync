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https://reyesholdings-my.sharepoint.com/personal/amicallef_martinbrower_com/Documents/Desktop/AIM Policies and Resources/"/>
    </mc:Choice>
  </mc:AlternateContent>
  <xr:revisionPtr revIDLastSave="1" documentId="8_{E7594BE8-6E4E-427F-9DEB-75CBC42D0873}" xr6:coauthVersionLast="47" xr6:coauthVersionMax="47" xr10:uidLastSave="{CB6C5B5F-6456-423F-B877-B7CADB38943D}"/>
  <bookViews>
    <workbookView xWindow="-108" yWindow="-108" windowWidth="23256" windowHeight="13896" xr2:uid="{00000000-000D-0000-FFFF-FFFF00000000}"/>
  </bookViews>
  <sheets>
    <sheet name="Change Request Form" sheetId="1" r:id="rId1"/>
    <sheet name="Product List" sheetId="3" r:id="rId2"/>
  </sheets>
  <definedNames>
    <definedName name="_xlnm._FilterDatabase" localSheetId="1" hidden="1">'Product List'!$A$1:$C$869</definedName>
    <definedName name="Dynamiclist">'Change Request Form'!#REF!:INDEX('Change Request Form'!#REF!,COUNTA('Change Request Form'!#REF!))</definedName>
    <definedName name="DynamicListHelper">'Change Request Form'!#REF!:INDEX('Change Request Form'!#REF!,COUNTA('Change Request Form'!#REF!))</definedName>
    <definedName name="FilteredProductNames">'Change Request Form'!#REF!:'Change Request Form'!#REF!</definedName>
    <definedName name="Filterproductnames">'Change Request Form'!#REF!:'Change Request Form'!#REF!</definedName>
    <definedName name="_xlnm.Print_Area" localSheetId="0">'Change Request Form'!$B$1:$H$101</definedName>
    <definedName name="ProductNam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78" i="3" l="1"/>
  <c r="C477" i="3"/>
  <c r="C476" i="3"/>
  <c r="C475" i="3"/>
  <c r="C474" i="3"/>
  <c r="C473" i="3"/>
  <c r="C472" i="3"/>
  <c r="C471" i="3"/>
  <c r="C470" i="3"/>
  <c r="C469" i="3"/>
  <c r="C468" i="3"/>
  <c r="C467" i="3"/>
  <c r="C466" i="3"/>
  <c r="C465" i="3"/>
  <c r="C464" i="3"/>
  <c r="C463" i="3"/>
  <c r="C462" i="3"/>
  <c r="C461" i="3"/>
  <c r="C460" i="3"/>
  <c r="C459" i="3"/>
  <c r="C458" i="3"/>
  <c r="C457" i="3"/>
  <c r="C456" i="3"/>
  <c r="C455" i="3"/>
  <c r="C454" i="3"/>
  <c r="C453" i="3"/>
  <c r="C452" i="3"/>
  <c r="C451" i="3"/>
  <c r="C450" i="3"/>
  <c r="C449" i="3"/>
  <c r="C448" i="3"/>
  <c r="C447" i="3"/>
  <c r="C446" i="3"/>
  <c r="C445" i="3"/>
  <c r="C444" i="3"/>
  <c r="C443" i="3"/>
  <c r="C442" i="3"/>
  <c r="C441" i="3"/>
  <c r="C440" i="3"/>
  <c r="C439" i="3"/>
  <c r="C438" i="3"/>
  <c r="C437" i="3"/>
  <c r="C436" i="3"/>
  <c r="C435" i="3"/>
  <c r="C434" i="3"/>
  <c r="C433" i="3"/>
  <c r="C432" i="3"/>
  <c r="C431" i="3"/>
  <c r="C430" i="3"/>
  <c r="C429" i="3"/>
  <c r="C428" i="3"/>
  <c r="C427" i="3"/>
  <c r="C426" i="3"/>
  <c r="C425" i="3"/>
  <c r="C424" i="3"/>
  <c r="C423" i="3"/>
  <c r="C422" i="3"/>
  <c r="C421" i="3"/>
  <c r="C420" i="3"/>
  <c r="C419" i="3"/>
  <c r="C418" i="3"/>
  <c r="C417" i="3"/>
  <c r="C416" i="3"/>
  <c r="C415" i="3"/>
  <c r="C414" i="3"/>
  <c r="C413" i="3"/>
  <c r="C412" i="3"/>
  <c r="C411" i="3"/>
  <c r="C410" i="3"/>
  <c r="C409" i="3"/>
  <c r="C408" i="3"/>
  <c r="C407" i="3"/>
  <c r="C406" i="3"/>
  <c r="C405" i="3"/>
  <c r="C404" i="3"/>
  <c r="C403" i="3"/>
  <c r="C402" i="3"/>
  <c r="C401" i="3"/>
  <c r="C400" i="3"/>
  <c r="C399" i="3"/>
  <c r="C398" i="3"/>
  <c r="C397" i="3"/>
  <c r="C396" i="3"/>
  <c r="C395" i="3"/>
  <c r="C394" i="3"/>
  <c r="C393" i="3"/>
  <c r="C392" i="3"/>
  <c r="C391" i="3"/>
  <c r="C390" i="3"/>
  <c r="C389" i="3"/>
  <c r="C388" i="3"/>
  <c r="C387" i="3"/>
  <c r="C386" i="3"/>
  <c r="C385" i="3"/>
  <c r="C384" i="3"/>
  <c r="C383" i="3"/>
  <c r="C382" i="3"/>
  <c r="C381" i="3"/>
  <c r="C380" i="3"/>
  <c r="C379" i="3"/>
  <c r="C378" i="3"/>
  <c r="C377" i="3"/>
  <c r="C376" i="3"/>
  <c r="C375" i="3"/>
  <c r="C374" i="3"/>
  <c r="C373" i="3"/>
  <c r="C372" i="3"/>
  <c r="C371" i="3"/>
  <c r="C370" i="3"/>
  <c r="C369" i="3"/>
  <c r="C368" i="3"/>
  <c r="C367" i="3"/>
  <c r="C366" i="3"/>
  <c r="C365" i="3"/>
  <c r="C364" i="3"/>
  <c r="C363" i="3"/>
  <c r="C362" i="3"/>
  <c r="C361" i="3"/>
  <c r="C360" i="3"/>
  <c r="C359" i="3"/>
  <c r="C358" i="3"/>
  <c r="C357" i="3"/>
  <c r="C356" i="3"/>
  <c r="C355" i="3"/>
  <c r="C354" i="3"/>
  <c r="C353" i="3"/>
  <c r="C352" i="3"/>
  <c r="C351" i="3"/>
  <c r="C350" i="3"/>
  <c r="C349" i="3"/>
  <c r="C348" i="3"/>
  <c r="C347" i="3"/>
  <c r="C346" i="3"/>
  <c r="C345" i="3"/>
  <c r="C344" i="3"/>
  <c r="C343" i="3"/>
  <c r="C342" i="3"/>
  <c r="C341" i="3"/>
  <c r="C340" i="3"/>
  <c r="C339" i="3"/>
  <c r="C338" i="3"/>
  <c r="C337" i="3"/>
  <c r="C336" i="3"/>
  <c r="C335" i="3"/>
  <c r="C334" i="3"/>
  <c r="C333" i="3"/>
  <c r="C332" i="3"/>
  <c r="C331" i="3"/>
  <c r="C330" i="3"/>
  <c r="C329" i="3"/>
  <c r="C328" i="3"/>
  <c r="C327" i="3"/>
  <c r="C326" i="3"/>
  <c r="C325" i="3"/>
  <c r="C324" i="3"/>
  <c r="C323" i="3"/>
  <c r="C322" i="3"/>
  <c r="C321" i="3"/>
  <c r="C320" i="3"/>
  <c r="C319" i="3"/>
  <c r="C318" i="3"/>
  <c r="C317" i="3"/>
  <c r="C316" i="3"/>
  <c r="C315" i="3"/>
  <c r="C314" i="3"/>
  <c r="C313" i="3"/>
  <c r="C312" i="3"/>
  <c r="C311" i="3"/>
  <c r="C310" i="3"/>
  <c r="C309" i="3"/>
  <c r="C308" i="3"/>
  <c r="C307" i="3"/>
  <c r="C306" i="3"/>
  <c r="C305" i="3"/>
  <c r="C304" i="3"/>
  <c r="C303" i="3"/>
  <c r="C302" i="3"/>
  <c r="C301" i="3"/>
  <c r="C300" i="3"/>
  <c r="C299" i="3"/>
  <c r="C298" i="3"/>
  <c r="C297" i="3"/>
  <c r="C296" i="3"/>
  <c r="C295" i="3"/>
  <c r="C294" i="3"/>
  <c r="C293" i="3"/>
  <c r="C292" i="3"/>
  <c r="C291" i="3"/>
  <c r="C290" i="3"/>
  <c r="C289" i="3"/>
  <c r="C288" i="3"/>
  <c r="C287" i="3"/>
  <c r="C286" i="3"/>
  <c r="C285" i="3"/>
  <c r="C284" i="3"/>
  <c r="C283" i="3"/>
  <c r="C282" i="3"/>
  <c r="C281" i="3"/>
  <c r="C280" i="3"/>
  <c r="C279" i="3"/>
  <c r="C278" i="3"/>
  <c r="C277" i="3"/>
  <c r="C276" i="3"/>
  <c r="C275" i="3"/>
  <c r="C274" i="3"/>
  <c r="C273" i="3"/>
  <c r="C272" i="3"/>
  <c r="C271" i="3"/>
  <c r="C270" i="3"/>
  <c r="C269" i="3"/>
  <c r="C268" i="3"/>
  <c r="C267" i="3"/>
  <c r="C266" i="3"/>
  <c r="C265" i="3"/>
  <c r="C264" i="3"/>
  <c r="C263" i="3"/>
  <c r="C262" i="3"/>
  <c r="C261" i="3"/>
  <c r="C260" i="3"/>
  <c r="C259" i="3"/>
  <c r="C258" i="3"/>
  <c r="C257" i="3"/>
  <c r="C256" i="3"/>
  <c r="C255" i="3"/>
  <c r="C254" i="3"/>
  <c r="C253" i="3"/>
  <c r="C252" i="3"/>
  <c r="C251" i="3"/>
  <c r="C250" i="3"/>
  <c r="C249" i="3"/>
  <c r="C248" i="3"/>
  <c r="C247" i="3"/>
  <c r="C246" i="3"/>
  <c r="C245" i="3"/>
  <c r="C244" i="3"/>
  <c r="C243" i="3"/>
  <c r="C242" i="3"/>
  <c r="C241" i="3"/>
  <c r="C240" i="3"/>
  <c r="C239" i="3"/>
  <c r="C238" i="3"/>
  <c r="C237" i="3"/>
  <c r="C236" i="3"/>
  <c r="C235" i="3"/>
  <c r="C234" i="3"/>
  <c r="C233" i="3"/>
  <c r="C232" i="3"/>
  <c r="C231" i="3"/>
  <c r="C230" i="3"/>
  <c r="C229" i="3"/>
  <c r="C228" i="3"/>
  <c r="C227" i="3"/>
  <c r="C226" i="3"/>
  <c r="C225" i="3"/>
  <c r="C224" i="3"/>
  <c r="C223" i="3"/>
  <c r="C222" i="3"/>
  <c r="C221" i="3"/>
  <c r="C220" i="3"/>
  <c r="C219" i="3"/>
  <c r="C218" i="3"/>
  <c r="C217" i="3"/>
  <c r="C216" i="3"/>
  <c r="C215" i="3"/>
  <c r="C214" i="3"/>
  <c r="C213" i="3"/>
  <c r="C212" i="3"/>
  <c r="C211" i="3"/>
  <c r="C210" i="3"/>
  <c r="C209" i="3"/>
  <c r="C208" i="3"/>
  <c r="C207" i="3"/>
  <c r="C206" i="3"/>
  <c r="C205" i="3"/>
  <c r="C204" i="3"/>
  <c r="C203" i="3"/>
  <c r="C202" i="3"/>
  <c r="C201" i="3"/>
  <c r="C200" i="3"/>
  <c r="C199" i="3"/>
  <c r="C198" i="3"/>
  <c r="C197" i="3"/>
  <c r="C196" i="3"/>
  <c r="C195" i="3"/>
  <c r="C194" i="3"/>
  <c r="C193" i="3"/>
  <c r="C192" i="3"/>
  <c r="C191" i="3"/>
  <c r="C190" i="3"/>
  <c r="C189" i="3"/>
  <c r="C188" i="3"/>
  <c r="C187" i="3"/>
  <c r="C186" i="3"/>
  <c r="C185" i="3"/>
  <c r="C184" i="3"/>
  <c r="C183" i="3"/>
  <c r="C182" i="3"/>
  <c r="C181" i="3"/>
  <c r="C180" i="3"/>
  <c r="C179" i="3"/>
  <c r="C178" i="3"/>
  <c r="C177" i="3"/>
  <c r="C176" i="3"/>
  <c r="C175" i="3"/>
  <c r="C174" i="3"/>
  <c r="C173" i="3"/>
  <c r="C172" i="3"/>
  <c r="C171" i="3"/>
  <c r="C170" i="3"/>
  <c r="C169" i="3"/>
  <c r="C168" i="3"/>
  <c r="C167" i="3"/>
  <c r="C166" i="3"/>
  <c r="C165" i="3"/>
  <c r="C164" i="3"/>
  <c r="C163" i="3"/>
  <c r="C162" i="3"/>
  <c r="C161" i="3"/>
  <c r="C160" i="3"/>
  <c r="C159" i="3"/>
  <c r="C158" i="3"/>
  <c r="C157" i="3"/>
  <c r="C156" i="3"/>
  <c r="C155" i="3"/>
  <c r="C154" i="3"/>
  <c r="C153" i="3"/>
  <c r="C152" i="3"/>
  <c r="C151" i="3"/>
  <c r="C148" i="3"/>
  <c r="C147" i="3"/>
  <c r="C146" i="3"/>
  <c r="C145" i="3"/>
  <c r="C144" i="3"/>
  <c r="C143" i="3"/>
  <c r="C142" i="3"/>
  <c r="C141" i="3"/>
  <c r="C140" i="3"/>
  <c r="C139" i="3"/>
  <c r="C138" i="3"/>
  <c r="C137" i="3"/>
  <c r="C136" i="3"/>
  <c r="C135" i="3"/>
  <c r="C134" i="3"/>
  <c r="C133" i="3"/>
  <c r="C132" i="3"/>
  <c r="C131" i="3"/>
  <c r="C130" i="3"/>
  <c r="C129" i="3"/>
  <c r="C128" i="3"/>
  <c r="C127" i="3"/>
  <c r="C126" i="3"/>
  <c r="C125" i="3"/>
  <c r="C124" i="3"/>
  <c r="C123" i="3"/>
  <c r="C122" i="3"/>
  <c r="C121" i="3"/>
  <c r="C120" i="3"/>
  <c r="C119" i="3"/>
  <c r="C118" i="3"/>
  <c r="C117" i="3"/>
  <c r="C116" i="3"/>
  <c r="C115" i="3"/>
  <c r="C114" i="3"/>
  <c r="C113" i="3"/>
  <c r="C112" i="3"/>
  <c r="C111" i="3"/>
  <c r="C110" i="3"/>
  <c r="C109" i="3"/>
  <c r="C108" i="3"/>
  <c r="C107" i="3"/>
  <c r="C106" i="3"/>
  <c r="C105" i="3"/>
  <c r="C104" i="3"/>
  <c r="C103" i="3"/>
  <c r="C102" i="3"/>
  <c r="C101" i="3"/>
  <c r="C100" i="3"/>
  <c r="C99" i="3"/>
  <c r="C98" i="3"/>
  <c r="C97" i="3"/>
  <c r="C96" i="3"/>
  <c r="C95" i="3"/>
  <c r="C94" i="3"/>
  <c r="C93" i="3"/>
  <c r="C92" i="3"/>
  <c r="C91" i="3"/>
  <c r="C90" i="3"/>
  <c r="C89" i="3"/>
  <c r="C88" i="3"/>
  <c r="C87" i="3"/>
  <c r="C86"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C5" i="3"/>
  <c r="C4" i="3"/>
  <c r="C3" i="3"/>
  <c r="C2" i="3"/>
  <c r="C85" i="3" l="1"/>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N37" i="1" l="1" a="1"/>
  <c r="N37" i="1" s="1"/>
  <c r="O37" i="1" s="1"/>
  <c r="J98" i="1"/>
  <c r="I98" i="1"/>
  <c r="N38" i="1" l="1" a="1"/>
  <c r="N38" i="1" s="1"/>
  <c r="O38" i="1" s="1"/>
  <c r="N39" i="1" l="1" a="1"/>
  <c r="N39" i="1" s="1"/>
  <c r="O39" i="1" s="1"/>
  <c r="N40" i="1" l="1" a="1"/>
  <c r="N40" i="1" s="1"/>
  <c r="O40" i="1" s="1"/>
  <c r="N41" i="1" l="1" a="1"/>
  <c r="N41" i="1" s="1"/>
  <c r="O41" i="1" s="1"/>
  <c r="N42" i="1" l="1" a="1"/>
  <c r="N42" i="1" s="1"/>
  <c r="O42" i="1" s="1"/>
  <c r="N43" i="1" l="1" a="1"/>
  <c r="N43" i="1" s="1"/>
  <c r="O43" i="1" s="1"/>
  <c r="N44" i="1" l="1" a="1"/>
  <c r="N44" i="1" s="1"/>
  <c r="O44" i="1" s="1"/>
  <c r="N45" i="1" l="1" a="1"/>
  <c r="N45" i="1" s="1"/>
  <c r="O45" i="1" s="1"/>
  <c r="N46" i="1" l="1" a="1"/>
  <c r="N46" i="1" s="1"/>
  <c r="O46" i="1" s="1"/>
  <c r="N47" i="1" l="1" a="1"/>
  <c r="N47" i="1" s="1"/>
  <c r="O47" i="1" s="1"/>
  <c r="N48" i="1" l="1" a="1"/>
  <c r="N48" i="1" s="1"/>
  <c r="O48" i="1" s="1"/>
  <c r="N49" i="1" l="1" a="1"/>
  <c r="N49" i="1" s="1"/>
  <c r="O49" i="1" s="1"/>
  <c r="N50" i="1" l="1" a="1"/>
  <c r="N50" i="1" s="1"/>
  <c r="O50" i="1" s="1"/>
  <c r="N51" i="1" l="1" a="1"/>
  <c r="N51" i="1" s="1"/>
  <c r="O51" i="1" s="1"/>
  <c r="N52" i="1" l="1" a="1"/>
  <c r="N52" i="1" s="1"/>
  <c r="O52" i="1" s="1"/>
  <c r="N53" i="1" l="1" a="1"/>
  <c r="N53" i="1" s="1"/>
  <c r="O53" i="1" s="1"/>
  <c r="N54" i="1" l="1" a="1"/>
  <c r="N54" i="1" s="1"/>
  <c r="O54" i="1" s="1"/>
  <c r="N55" i="1" l="1" a="1"/>
  <c r="N55" i="1" s="1"/>
  <c r="O55" i="1" s="1"/>
  <c r="N56" i="1" l="1" a="1"/>
  <c r="N56" i="1" s="1"/>
  <c r="O56" i="1" s="1"/>
  <c r="N57" i="1" l="1" a="1"/>
  <c r="N57" i="1" s="1"/>
  <c r="O57" i="1" s="1"/>
  <c r="N58" i="1" l="1" a="1"/>
  <c r="N58" i="1" s="1"/>
  <c r="O58" i="1" s="1"/>
  <c r="N59" i="1" l="1" a="1"/>
  <c r="N59" i="1" s="1"/>
  <c r="O59" i="1" s="1"/>
  <c r="N60" i="1" l="1" a="1"/>
  <c r="N60" i="1" s="1"/>
  <c r="O60" i="1" s="1"/>
  <c r="N61" i="1" l="1" a="1"/>
  <c r="N61" i="1" s="1"/>
  <c r="O61" i="1" s="1"/>
  <c r="N62" i="1" l="1" a="1"/>
  <c r="N62" i="1" s="1"/>
  <c r="O62" i="1" s="1"/>
  <c r="N63" i="1" l="1" a="1"/>
  <c r="N63" i="1" s="1"/>
  <c r="O63" i="1" s="1"/>
  <c r="N64" i="1" l="1" a="1"/>
  <c r="N64" i="1" s="1"/>
  <c r="O64" i="1" s="1"/>
  <c r="N65" i="1" l="1" a="1"/>
  <c r="N65" i="1" s="1"/>
  <c r="O65" i="1" s="1"/>
  <c r="N66" i="1" l="1" a="1"/>
  <c r="N66" i="1" s="1"/>
  <c r="O66" i="1" s="1"/>
  <c r="N67" i="1" l="1" a="1"/>
  <c r="N67" i="1" s="1"/>
  <c r="O67" i="1" s="1"/>
  <c r="N68" i="1" l="1" a="1"/>
  <c r="N68" i="1" s="1"/>
  <c r="O68" i="1" s="1"/>
  <c r="N69" i="1" l="1" a="1"/>
  <c r="N69" i="1" s="1"/>
  <c r="O69" i="1" s="1"/>
  <c r="N70" i="1" l="1" a="1"/>
  <c r="N70" i="1" s="1"/>
  <c r="O70" i="1" s="1"/>
  <c r="N71" i="1" l="1" a="1"/>
  <c r="N71" i="1" s="1"/>
  <c r="O71" i="1" s="1"/>
  <c r="N72" i="1" l="1" a="1"/>
  <c r="N72" i="1" s="1"/>
  <c r="O72" i="1" s="1"/>
  <c r="N73" i="1" l="1" a="1"/>
  <c r="N73" i="1" s="1"/>
  <c r="O73" i="1" s="1"/>
  <c r="N74" i="1" l="1" a="1"/>
  <c r="N74" i="1" s="1"/>
  <c r="O74" i="1" s="1"/>
  <c r="N75" i="1" l="1" a="1"/>
  <c r="N75" i="1" s="1"/>
  <c r="O75" i="1" s="1"/>
  <c r="N76" i="1" l="1" a="1"/>
  <c r="N76" i="1" s="1"/>
  <c r="O76" i="1" s="1"/>
  <c r="N77" i="1" l="1" a="1"/>
  <c r="N77" i="1" s="1"/>
  <c r="O77" i="1" s="1"/>
  <c r="N78" i="1" l="1" a="1"/>
  <c r="N78" i="1" s="1"/>
  <c r="O78" i="1" s="1"/>
  <c r="N79" i="1" l="1" a="1"/>
  <c r="N79" i="1" s="1"/>
  <c r="O79" i="1" s="1"/>
  <c r="N80" i="1" l="1" a="1"/>
  <c r="N80" i="1" s="1"/>
  <c r="O80" i="1" s="1"/>
  <c r="N81" i="1" l="1" a="1"/>
  <c r="N81" i="1" s="1"/>
  <c r="O81" i="1" s="1"/>
  <c r="N82" i="1" l="1" a="1"/>
  <c r="N82" i="1" s="1"/>
  <c r="O82" i="1" s="1"/>
  <c r="N83" i="1" l="1" a="1"/>
  <c r="N83" i="1" s="1"/>
  <c r="O83" i="1" s="1"/>
  <c r="N84" i="1" l="1" a="1"/>
  <c r="N84" i="1" s="1"/>
  <c r="O84" i="1" s="1"/>
  <c r="N85" i="1" l="1" a="1"/>
  <c r="N85" i="1" s="1"/>
  <c r="O85" i="1" s="1"/>
  <c r="N86" i="1" l="1" a="1"/>
  <c r="N86" i="1" s="1"/>
  <c r="O86" i="1" s="1"/>
  <c r="N87" i="1" l="1" a="1"/>
  <c r="N87" i="1" s="1"/>
  <c r="O87" i="1" s="1"/>
  <c r="N88" i="1" l="1" a="1"/>
  <c r="N88" i="1" s="1"/>
  <c r="O88" i="1" s="1"/>
  <c r="N89" i="1" l="1" a="1"/>
  <c r="N89" i="1" s="1"/>
  <c r="O89" i="1" s="1"/>
  <c r="N90" i="1" l="1" a="1"/>
  <c r="N90" i="1" s="1"/>
  <c r="O90" i="1" s="1"/>
  <c r="N91" i="1" l="1" a="1"/>
  <c r="N91" i="1" s="1"/>
  <c r="O91" i="1" s="1"/>
  <c r="N92" i="1" l="1" a="1"/>
  <c r="N92" i="1" s="1"/>
  <c r="O92" i="1" s="1"/>
  <c r="N93" i="1" l="1" a="1"/>
  <c r="N93" i="1" s="1"/>
  <c r="O93" i="1" s="1"/>
  <c r="N94" i="1" l="1" a="1"/>
  <c r="N94" i="1" s="1"/>
  <c r="O94" i="1" s="1"/>
  <c r="N95" i="1" l="1" a="1"/>
  <c r="N95" i="1" s="1"/>
  <c r="O95" i="1" s="1"/>
  <c r="N96" i="1" l="1" a="1"/>
  <c r="N96" i="1" s="1"/>
  <c r="O96" i="1" s="1"/>
  <c r="N97" i="1" l="1" a="1"/>
  <c r="N97" i="1" s="1"/>
  <c r="O97" i="1" s="1"/>
  <c r="N98" i="1" l="1" a="1"/>
  <c r="N98" i="1" s="1"/>
  <c r="O98" i="1" s="1"/>
  <c r="N99" i="1" l="1" a="1"/>
  <c r="N99" i="1" s="1"/>
  <c r="O99" i="1" s="1"/>
  <c r="N100" i="1" l="1" a="1"/>
  <c r="N100" i="1" s="1"/>
  <c r="O100" i="1" s="1"/>
  <c r="N101" i="1" l="1" a="1"/>
  <c r="N101" i="1" s="1"/>
  <c r="O101" i="1" s="1"/>
  <c r="N102" i="1" l="1" a="1"/>
  <c r="N102" i="1" s="1"/>
  <c r="O102" i="1" s="1"/>
  <c r="N103" i="1" l="1" a="1"/>
  <c r="N103" i="1" s="1"/>
  <c r="O103" i="1" s="1"/>
  <c r="N104" i="1" l="1" a="1"/>
  <c r="N104" i="1" s="1"/>
  <c r="O104" i="1" s="1"/>
  <c r="N105" i="1" l="1" a="1"/>
  <c r="N105" i="1" s="1"/>
  <c r="O105" i="1" s="1"/>
  <c r="N106" i="1" l="1" a="1"/>
  <c r="N106" i="1" s="1"/>
  <c r="O106" i="1" s="1"/>
  <c r="N107" i="1" l="1" a="1"/>
  <c r="N107" i="1" s="1"/>
  <c r="O107" i="1" s="1"/>
  <c r="N108" i="1" l="1" a="1"/>
  <c r="N108" i="1" s="1"/>
  <c r="O108" i="1" s="1"/>
  <c r="N109" i="1" l="1" a="1"/>
  <c r="N109" i="1" s="1"/>
  <c r="O109" i="1" s="1"/>
  <c r="N110" i="1" l="1" a="1"/>
  <c r="N110" i="1" s="1"/>
  <c r="O110" i="1" s="1"/>
  <c r="N111" i="1" l="1" a="1"/>
  <c r="N111" i="1" s="1"/>
  <c r="O111" i="1" s="1"/>
  <c r="N112" i="1" l="1" a="1"/>
  <c r="N112" i="1" s="1"/>
  <c r="O112" i="1" s="1"/>
  <c r="N113" i="1" l="1" a="1"/>
  <c r="N113" i="1" s="1"/>
  <c r="O113"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<sst xmlns="http://schemas.openxmlformats.org/spreadsheetml/2006/main" count="529" uniqueCount="334">
  <si>
    <r>
      <t xml:space="preserve">
</t>
    </r>
    <r>
      <rPr>
        <b/>
        <sz val="16"/>
        <rFont val="Arial"/>
        <family val="2"/>
      </rPr>
      <t>Change Request for AIM Order Proposals</t>
    </r>
  </si>
  <si>
    <r>
      <t>Please provide the type of change (</t>
    </r>
    <r>
      <rPr>
        <i/>
        <sz val="12"/>
        <color indexed="8"/>
        <rFont val="Arial"/>
        <family val="2"/>
      </rPr>
      <t>increase or decrease</t>
    </r>
    <r>
      <rPr>
        <sz val="12"/>
        <color indexed="8"/>
        <rFont val="Arial"/>
        <family val="2"/>
      </rPr>
      <t xml:space="preserve">) to the order proposal, the </t>
    </r>
    <r>
      <rPr>
        <i/>
        <sz val="12"/>
        <color indexed="8"/>
        <rFont val="Arial"/>
        <family val="2"/>
      </rPr>
      <t>Restaurant's Current Stock On Hand</t>
    </r>
    <r>
      <rPr>
        <sz val="12"/>
        <color indexed="8"/>
        <rFont val="Arial"/>
        <family val="2"/>
      </rPr>
      <t xml:space="preserve"> </t>
    </r>
    <r>
      <rPr>
        <i/>
        <sz val="12"/>
        <color indexed="8"/>
        <rFont val="Arial"/>
        <family val="2"/>
      </rPr>
      <t xml:space="preserve">(in cartons) </t>
    </r>
    <r>
      <rPr>
        <sz val="12"/>
        <color indexed="8"/>
        <rFont val="Arial"/>
        <family val="2"/>
      </rPr>
      <t xml:space="preserve">and the </t>
    </r>
    <r>
      <rPr>
        <i/>
        <sz val="12"/>
        <color indexed="8"/>
        <rFont val="Arial"/>
        <family val="2"/>
      </rPr>
      <t>reason for the requested change</t>
    </r>
    <r>
      <rPr>
        <sz val="12"/>
        <color indexed="8"/>
        <rFont val="Arial"/>
        <family val="2"/>
      </rPr>
      <t xml:space="preserve"> (from the below options) . You do not need to provide the quantity that the order will be adjusted by, this will be determined by the Restaurant Plannner after reviewing the information you provide below. </t>
    </r>
  </si>
  <si>
    <t>Please note: Changes to QTYs of Ops Supplies are not permitted in this form. If ‘Specials’ are required prior to your next Order Proposal, to replenish Manual Items and Ops Supplies, then the Restaurant is accountable for the cost.</t>
  </si>
  <si>
    <t>Reason for Change</t>
  </si>
  <si>
    <t>Stock On Hand Variance</t>
  </si>
  <si>
    <t>Manual Items</t>
  </si>
  <si>
    <t>Safety Stock</t>
  </si>
  <si>
    <t>Shelf Life</t>
  </si>
  <si>
    <t>Usage</t>
  </si>
  <si>
    <r>
      <t>Change Request - EXAMPLE AMENDMENT</t>
    </r>
    <r>
      <rPr>
        <b/>
        <sz val="10"/>
        <color indexed="9"/>
        <rFont val="Arial"/>
        <family val="2"/>
      </rPr>
      <t xml:space="preserve"> </t>
    </r>
    <r>
      <rPr>
        <sz val="11"/>
        <color indexed="9"/>
        <rFont val="Arial"/>
        <family val="2"/>
      </rPr>
      <t>(Below example uses NSW WRINs)</t>
    </r>
  </si>
  <si>
    <t>WRIN NUMBER</t>
  </si>
  <si>
    <t>DESCRIPTION</t>
  </si>
  <si>
    <t>Reduction Type</t>
  </si>
  <si>
    <t>Stock On Hand</t>
  </si>
  <si>
    <t>Select Reason for Change</t>
  </si>
  <si>
    <t>COMMENT</t>
  </si>
  <si>
    <t>SHAKE MIX 10L NSW</t>
  </si>
  <si>
    <t>Increase</t>
  </si>
  <si>
    <t>BEEF 4:1 DBL LINER A</t>
  </si>
  <si>
    <t>RESTAURANT:</t>
  </si>
  <si>
    <t>RESTAURANT NO:</t>
  </si>
  <si>
    <t>MANAGERS NAME:</t>
  </si>
  <si>
    <t>DATE/TIME:</t>
  </si>
  <si>
    <t>DELIVERY DATE:</t>
  </si>
  <si>
    <t>Internal Use Only</t>
  </si>
  <si>
    <t>Add</t>
  </si>
  <si>
    <t>Cut</t>
  </si>
  <si>
    <t>Restaurant Action/Feedback for Restaurant</t>
  </si>
  <si>
    <t xml:space="preserve">BACON RASHER </t>
  </si>
  <si>
    <t>Item Look Up</t>
  </si>
  <si>
    <t>Wrin</t>
  </si>
  <si>
    <t>Product</t>
  </si>
  <si>
    <t>x</t>
  </si>
  <si>
    <t>Total</t>
  </si>
  <si>
    <t>If you have any questions, please contact your Restaurant Planner.</t>
  </si>
  <si>
    <t>Version 1.3 - 14 August 2023</t>
  </si>
  <si>
    <t>Product Name</t>
  </si>
  <si>
    <t>1 cut</t>
  </si>
  <si>
    <t xml:space="preserve">APPLE SLICES </t>
  </si>
  <si>
    <t>Decrease</t>
  </si>
  <si>
    <t>BAG B</t>
  </si>
  <si>
    <t>BAG BREAKFAST NO 16</t>
  </si>
  <si>
    <t>BAG FRIES SMALL</t>
  </si>
  <si>
    <t>BAG GENERIC SNACK</t>
  </si>
  <si>
    <t>BAG HASH BROWN</t>
  </si>
  <si>
    <t>BAG McNUGGET 3 PCE</t>
  </si>
  <si>
    <t xml:space="preserve">BAG MDS D BAG </t>
  </si>
  <si>
    <t>BAG NO 4</t>
  </si>
  <si>
    <t>BAG ONION RINGS</t>
  </si>
  <si>
    <t>BAG PASTRY UNPRINTED B987P0330</t>
  </si>
  <si>
    <t>BAG PINEAPPLE FRITTER</t>
  </si>
  <si>
    <t>BASE BREAKFAST</t>
  </si>
  <si>
    <t xml:space="preserve">BEEF PATTIES 10:1 </t>
  </si>
  <si>
    <t xml:space="preserve">BEEF PATTIES 3:1 </t>
  </si>
  <si>
    <t>BEEF PATTIES 4:1</t>
  </si>
  <si>
    <t>BEEF SAUSAGE PATTIES</t>
  </si>
  <si>
    <t>BIRTHDAY LATTE POWDER</t>
  </si>
  <si>
    <t>BOX ARTIST RESIDENCY</t>
  </si>
  <si>
    <t>BOX FRIES LARGE</t>
  </si>
  <si>
    <t>BOX FRIES MEDIUM</t>
  </si>
  <si>
    <t xml:space="preserve">BOX HAPPY MEAL </t>
  </si>
  <si>
    <t>BOX McNUGGET 10 PCE</t>
  </si>
  <si>
    <t>BOX McNUGGET 10 PCE SPICY</t>
  </si>
  <si>
    <t>BOX McNUGGET 20 PCE</t>
  </si>
  <si>
    <t>BOX McNUGGET 20 PCE SPICY</t>
  </si>
  <si>
    <t>BOX McNUGGET 24 PCE</t>
  </si>
  <si>
    <t>BOX PIE APPLE</t>
  </si>
  <si>
    <t>BOX PIE GENERIC</t>
  </si>
  <si>
    <t xml:space="preserve">BOX SALAD LARGE </t>
  </si>
  <si>
    <t xml:space="preserve">BOX SALAD SMALL </t>
  </si>
  <si>
    <t>BREAD S/D SLICE ARTISAN</t>
  </si>
  <si>
    <t>BUN 4 INCH</t>
  </si>
  <si>
    <t>BUN BIG MAC</t>
  </si>
  <si>
    <t>BUN GOURMET</t>
  </si>
  <si>
    <t>BUN MCCRISPY</t>
  </si>
  <si>
    <t>BUN MCRIB</t>
  </si>
  <si>
    <t>BUN REGULAR</t>
  </si>
  <si>
    <t>BUTTER WHIPPED PORTIONS</t>
  </si>
  <si>
    <t>CAF APPLE CBL MUFFIN</t>
  </si>
  <si>
    <t>CAF AUSTRALIANO CHAI</t>
  </si>
  <si>
    <t>CAF BAG PASTRY</t>
  </si>
  <si>
    <t>CAF BUTTER PORTIONS</t>
  </si>
  <si>
    <t>CAF COFFEE DECAFFINATED</t>
  </si>
  <si>
    <t>CAF CUP 12OZ STANDARD</t>
  </si>
  <si>
    <t>CAF CUP 16OZ TALL</t>
  </si>
  <si>
    <t>CAF CUP 4OZ DWHC</t>
  </si>
  <si>
    <t>CAF CUP 4OZ PLA23</t>
  </si>
  <si>
    <t xml:space="preserve">CAF CUP 4OZ PLA23 </t>
  </si>
  <si>
    <t>CAF CUP 8OZ SMALL</t>
  </si>
  <si>
    <t>CAF DBL CHOC MUFFIN</t>
  </si>
  <si>
    <t>CAF DONUT CHOCOLATE</t>
  </si>
  <si>
    <t>CAF HAM SLICES</t>
  </si>
  <si>
    <t>CAF HOT CROSS BUN CHOCOLATE</t>
  </si>
  <si>
    <t>CAF HOT CROSS BUN FRUIT</t>
  </si>
  <si>
    <t xml:space="preserve">CAF LID 4OZ </t>
  </si>
  <si>
    <t>CAF LID DOMED SMALL FRAPPE</t>
  </si>
  <si>
    <t xml:space="preserve">CAF LOAF BANA BLUEBERRY </t>
  </si>
  <si>
    <t xml:space="preserve">CAF LOAF BANANA </t>
  </si>
  <si>
    <t>CAF MACARON SALTED CARAMEL</t>
  </si>
  <si>
    <t>CAF MACARONS CHOCOLATE</t>
  </si>
  <si>
    <t>CAF MARSHMALLOWS</t>
  </si>
  <si>
    <t>CAF POWDER DRINKING CHOCOLATE</t>
  </si>
  <si>
    <t>CAF POWDER VANILLA CHAI</t>
  </si>
  <si>
    <t>CAF STOPPER COFFEE</t>
  </si>
  <si>
    <t>CAF SYRUP CARAMEL</t>
  </si>
  <si>
    <t>CAF SYRUP CREME BRULEE</t>
  </si>
  <si>
    <t>CAF SYRUP HAZELNUT</t>
  </si>
  <si>
    <t>CAF SYRUP SUGAR</t>
  </si>
  <si>
    <t>CAF SYRUP VANILLA</t>
  </si>
  <si>
    <t>CAF TEA BAGS EARL GREY</t>
  </si>
  <si>
    <t>CAF TEA BAGS ENG BFAST</t>
  </si>
  <si>
    <t>CAF TEA BAGS GREEN</t>
  </si>
  <si>
    <t>CAF TEA BAGS PEPPERMINT</t>
  </si>
  <si>
    <t xml:space="preserve">CAF TOAST RAISIN </t>
  </si>
  <si>
    <t>CAF WRAP PLAIN</t>
  </si>
  <si>
    <t>CAKE ICE CREAM BIRTHDAY</t>
  </si>
  <si>
    <t>CAN COKE</t>
  </si>
  <si>
    <t>CAN COKE NO SUGAR</t>
  </si>
  <si>
    <t xml:space="preserve">CAN FANTA </t>
  </si>
  <si>
    <t>CAN SPRITE</t>
  </si>
  <si>
    <t>CHEESE MOZZARELLA STICK</t>
  </si>
  <si>
    <t xml:space="preserve">CHEESE PARMESAN SHAVED </t>
  </si>
  <si>
    <t>CHEESE PATTY</t>
  </si>
  <si>
    <t>CHEESE SLICE AUS JACK</t>
  </si>
  <si>
    <t>CHEESE SLICES REGULAR</t>
  </si>
  <si>
    <t>CHICK PATTY BIG MAC</t>
  </si>
  <si>
    <t>CHICKEN BITES</t>
  </si>
  <si>
    <t>CHICKEN CRISPY WM</t>
  </si>
  <si>
    <t>CHICKEN GRILL CYT</t>
  </si>
  <si>
    <t xml:space="preserve">CHICKEN MCNUGGET SPICY  </t>
  </si>
  <si>
    <t>CHICKEN MCNUGGETS</t>
  </si>
  <si>
    <t>CHICKEN PATTIES MCCHICKEN</t>
  </si>
  <si>
    <t>CHICKEN PATTIES SPICY</t>
  </si>
  <si>
    <t>CHOC SOFT SERVE UHT</t>
  </si>
  <si>
    <t>CHOCOLATE FLAKE</t>
  </si>
  <si>
    <t>CLAM ANGUS BEEF</t>
  </si>
  <si>
    <t>CLAM ANGUS DELUXE</t>
  </si>
  <si>
    <t>CLAM BIG BREKKIE BURGER</t>
  </si>
  <si>
    <t>CLAM BIG MAC</t>
  </si>
  <si>
    <t>CLAM BIG MAC CHICKEN</t>
  </si>
  <si>
    <t>CLAM CHEESY BEEF</t>
  </si>
  <si>
    <t>CLAM CHEESY CHICKEN</t>
  </si>
  <si>
    <t>CLAM CHICKEN MULTI</t>
  </si>
  <si>
    <t>CLAM DOUBLE QUARTER POUNDER</t>
  </si>
  <si>
    <t>CLAM FILET-O-FISH</t>
  </si>
  <si>
    <t>CLAM GENERIC 4.5 INCH TALL</t>
  </si>
  <si>
    <t>CLAM GENERIC EXTRA LARGE</t>
  </si>
  <si>
    <t>CLAM GENERIC LARGE</t>
  </si>
  <si>
    <t xml:space="preserve">CLAM GENERIC SMALL </t>
  </si>
  <si>
    <t>CLAM HOTCAKE</t>
  </si>
  <si>
    <t>CLAM MCCHICKEN</t>
  </si>
  <si>
    <t>CLAM MCCRISPY BACON DELUXE</t>
  </si>
  <si>
    <t>CLAM MCCRISPY CHICKEN</t>
  </si>
  <si>
    <t>CLAM MCCRISPY CHICKEN DELUXE</t>
  </si>
  <si>
    <t>CLAM McNUGGET 6 PCE</t>
  </si>
  <si>
    <t>CLAM McNUGGET 6 PCE SPICY</t>
  </si>
  <si>
    <t>CLAM McRIB</t>
  </si>
  <si>
    <t>CLAM McRIB DELUXE</t>
  </si>
  <si>
    <t>CLAM MCSPICY</t>
  </si>
  <si>
    <t>CLAM MIGHTY MCMUFFIN</t>
  </si>
  <si>
    <t>CLAM QUARTER POUNDER</t>
  </si>
  <si>
    <t>COFFEE BEAN</t>
  </si>
  <si>
    <t>COND HONEY PORTION</t>
  </si>
  <si>
    <t>COND PEPPER PACKETS</t>
  </si>
  <si>
    <t>COND SALT FRY</t>
  </si>
  <si>
    <t>COND SALT PACKETS</t>
  </si>
  <si>
    <t>COND SEASONING 86:14 900GRAM</t>
  </si>
  <si>
    <t>COND SEASONING ANGUS</t>
  </si>
  <si>
    <t>COND SUGAR BULK</t>
  </si>
  <si>
    <t>COND SUGAR RAW SACHETS</t>
  </si>
  <si>
    <t>COND SUGAR SACHETS</t>
  </si>
  <si>
    <t>COND SWEETENER PACKETS</t>
  </si>
  <si>
    <t>CONES SOFT SERVE</t>
  </si>
  <si>
    <t>COOKIES MCDONALDLAND</t>
  </si>
  <si>
    <t>CORDIAL ORANGE BOTTLE</t>
  </si>
  <si>
    <t>CREAM WHIP AEROSOL</t>
  </si>
  <si>
    <t>CUP 12OZ SMALL</t>
  </si>
  <si>
    <t>CUP 16OZ FCB</t>
  </si>
  <si>
    <t>CUP 16OZ MEDIUM</t>
  </si>
  <si>
    <t>CUP 22OZ FSB HBT LARGE</t>
  </si>
  <si>
    <t>CUP 22OZ LARGE</t>
  </si>
  <si>
    <t>CUP 24OZ FCB</t>
  </si>
  <si>
    <t>CUP CLEAR SMALL FRAPPE</t>
  </si>
  <si>
    <t>CUP CONE 3OZ</t>
  </si>
  <si>
    <t>CUP ESPRESSO SML 8OZ</t>
  </si>
  <si>
    <t>CUP ESPRESSO STD 12OZ</t>
  </si>
  <si>
    <t>CUP ESPRESSO TALL 16OZ</t>
  </si>
  <si>
    <t>CUP MCFLURRY</t>
  </si>
  <si>
    <t>CUP SUNDAE LARGE</t>
  </si>
  <si>
    <t>CUP SUNDAE SMALL</t>
  </si>
  <si>
    <t>DRESSING BALSAMIC</t>
  </si>
  <si>
    <t>DRESSING CREAMY CAESAR</t>
  </si>
  <si>
    <t>FILET-O-FISH PORTIONS</t>
  </si>
  <si>
    <t>FRAP MIX CHOCOLATE</t>
  </si>
  <si>
    <t>FRAP MIX COFFEE</t>
  </si>
  <si>
    <t>FRAP MIX SALTED CARAMEL</t>
  </si>
  <si>
    <t xml:space="preserve">FRIES FRENCH </t>
  </si>
  <si>
    <t>HASH BROWNS</t>
  </si>
  <si>
    <t>HOB:1L SYRUP HOTCAKE</t>
  </si>
  <si>
    <t>HOTCAKES FROZEN</t>
  </si>
  <si>
    <t xml:space="preserve">JUICE APPLE </t>
  </si>
  <si>
    <t>JUICE ORANGE CONCENTRATE</t>
  </si>
  <si>
    <t>JUICE ORANGE FRUIT BIB</t>
  </si>
  <si>
    <t>KETCHUP BULK</t>
  </si>
  <si>
    <t xml:space="preserve">KETCHUP PACKET </t>
  </si>
  <si>
    <t>LID 16/24OZ FCB</t>
  </si>
  <si>
    <t>LID BREAKFAST</t>
  </si>
  <si>
    <t>LID CLEAR FLAT 92MM</t>
  </si>
  <si>
    <t>LID COFFEE 3 IN 1</t>
  </si>
  <si>
    <t>LID COFFEE 8OZ</t>
  </si>
  <si>
    <t>LID MED/LARGE 16/22OZ</t>
  </si>
  <si>
    <t>LID REGULAR 12OZ</t>
  </si>
  <si>
    <t>MCDELIVERY BAG BATCHING</t>
  </si>
  <si>
    <t>MCPOP CARAMEL COOKIE</t>
  </si>
  <si>
    <t>MDS TE LABEL</t>
  </si>
  <si>
    <t>MFV FLAV SHOT B/BERRY</t>
  </si>
  <si>
    <t>MFV FLAV SHOT FANTA ORANGE</t>
  </si>
  <si>
    <t>MFV FLAV SHOT GRAPE</t>
  </si>
  <si>
    <t>MFV FLAV SHOT MANGO</t>
  </si>
  <si>
    <t>MFV FLAV SHOT R/BERRY</t>
  </si>
  <si>
    <t>MFV FLAV SHOT SPRITE</t>
  </si>
  <si>
    <t>MILK ALMOND</t>
  </si>
  <si>
    <t>MILK CALCIYUM CHOCOLATE 250ML</t>
  </si>
  <si>
    <t>MILK FULL CREAM</t>
  </si>
  <si>
    <t>MILK LACTOSE FREE FC</t>
  </si>
  <si>
    <t>MILK OAT</t>
  </si>
  <si>
    <t>MILK SKIM</t>
  </si>
  <si>
    <t>MILK SOY</t>
  </si>
  <si>
    <t>MUFFIN ENGLISH</t>
  </si>
  <si>
    <t>NAPKIN DRIVE THRU</t>
  </si>
  <si>
    <t>OIL VEGETABLE</t>
  </si>
  <si>
    <t>ONION RINGS</t>
  </si>
  <si>
    <t>PIE APPLE</t>
  </si>
  <si>
    <t>PINEAPPLE FRITTER CRUMBED</t>
  </si>
  <si>
    <t xml:space="preserve">PORK MCRIB PATTIE </t>
  </si>
  <si>
    <t>PORTION CUP</t>
  </si>
  <si>
    <t>PORTION CUP &amp; LID SET 2.5OZ</t>
  </si>
  <si>
    <t>PORTION LID</t>
  </si>
  <si>
    <t>POWDER SHAKE MIX</t>
  </si>
  <si>
    <t>POWDER SUNDAE MIX</t>
  </si>
  <si>
    <t>PROD BEETROOT SLICES</t>
  </si>
  <si>
    <t>PROD CROUTON SACHET</t>
  </si>
  <si>
    <t xml:space="preserve">PROD CUCUMBER </t>
  </si>
  <si>
    <t xml:space="preserve">PROD EGGS FRESH </t>
  </si>
  <si>
    <t>PROD GRAPE TOMATO</t>
  </si>
  <si>
    <t>PROD LETTUCE SHREDDED</t>
  </si>
  <si>
    <t>PROD ONION RED SLIV</t>
  </si>
  <si>
    <t>PROD ONIONS DEHYDRATED</t>
  </si>
  <si>
    <t>PROD ONIONS FRESH SLIVERED</t>
  </si>
  <si>
    <t>PROD PEPITA SACHET</t>
  </si>
  <si>
    <t>PROD PICKLES</t>
  </si>
  <si>
    <t>PROD SALAD DLM</t>
  </si>
  <si>
    <t>PROD TOMATOES</t>
  </si>
  <si>
    <t>SAUCE AIOLI NGT TUB</t>
  </si>
  <si>
    <t>SAUCE BIG MAC</t>
  </si>
  <si>
    <t>SAUCE BIM CHOCOLATE</t>
  </si>
  <si>
    <t>SAUCE GARLIC MAYO</t>
  </si>
  <si>
    <t>SAUCE HOUSE GRILLED</t>
  </si>
  <si>
    <t>SAUCE MCCHICKEN</t>
  </si>
  <si>
    <t>SAUCE MCCRISPY</t>
  </si>
  <si>
    <t xml:space="preserve">SAUCE MCRIB </t>
  </si>
  <si>
    <t>SAUCE MUSTARD POUCH</t>
  </si>
  <si>
    <t>SAUCE NGT BBQ PCH</t>
  </si>
  <si>
    <t>SAUCE PORTION OUTBACK BBQ</t>
  </si>
  <si>
    <t>SAUCE PORTION SPICY BUFFALO</t>
  </si>
  <si>
    <t>SAUCE PORTION TRUFFLE MAYO</t>
  </si>
  <si>
    <t>SAUCE PORTION WASABI MAYO</t>
  </si>
  <si>
    <t>SAUCE PORTIONS BBQ</t>
  </si>
  <si>
    <t>SAUCE PORTIONS CAJUN</t>
  </si>
  <si>
    <t>SAUCE PORTIONS MUSTARD</t>
  </si>
  <si>
    <t>SAUCE PORTIONS SWEET N SOUR</t>
  </si>
  <si>
    <t>SAUCE STICKY BBQ BRG 10X500GM</t>
  </si>
  <si>
    <t>SAUCE SWT N SOUR PCH</t>
  </si>
  <si>
    <t>SAUCE TARTARE</t>
  </si>
  <si>
    <t>SAUCE TIM TAM McFLURRY</t>
  </si>
  <si>
    <t xml:space="preserve">SAUCE TOMATO CHILLI </t>
  </si>
  <si>
    <t>SAUCE TOMATO ONION RELISH</t>
  </si>
  <si>
    <t>SEASONING SAUSAGE HALAL</t>
  </si>
  <si>
    <t>SHAKE MIX</t>
  </si>
  <si>
    <t>SPRAY OIL 15L</t>
  </si>
  <si>
    <t>STICKER GRILL MADE TO ORDER</t>
  </si>
  <si>
    <t>STICKER LABEL DATE</t>
  </si>
  <si>
    <t>STRAW REGULAR</t>
  </si>
  <si>
    <t>SUNDAE MIX</t>
  </si>
  <si>
    <t>SYRUP FCB COCA COLA (COKE)</t>
  </si>
  <si>
    <t xml:space="preserve">SYRUP FCB COKE CREATION </t>
  </si>
  <si>
    <t>SYRUP FCB COKE NO SUGAR</t>
  </si>
  <si>
    <t>SYRUP FCB FANTA NEUTRAL</t>
  </si>
  <si>
    <t>SYRUP HOT CAKE</t>
  </si>
  <si>
    <t>SYRUP POSTMIX COCA COLA (COKE)</t>
  </si>
  <si>
    <t>SYRUP POSTMIX COKE NO SUGAR</t>
  </si>
  <si>
    <t>SYRUP POSTMIX FANTA ORANGE</t>
  </si>
  <si>
    <t>SYRUP POSTMIX SPRITE</t>
  </si>
  <si>
    <t>SYRUP POSTMIX VAN COKE</t>
  </si>
  <si>
    <t>SYRUP SHAKE CHOCOLATE</t>
  </si>
  <si>
    <t>SYRUP SHAKE STRAWBERRY</t>
  </si>
  <si>
    <t>SYRUP SHAKE VANILLA</t>
  </si>
  <si>
    <t xml:space="preserve">TIM TAM BISCUIT CRUMB </t>
  </si>
  <si>
    <t>TISSUE CONE WRAP POCO</t>
  </si>
  <si>
    <t>TOPPING CARAMEL</t>
  </si>
  <si>
    <t>TOPPING CHOCOLATE</t>
  </si>
  <si>
    <t>TOPPING MCFLURRY M&amp;M MINI</t>
  </si>
  <si>
    <t>TOPPING MILO</t>
  </si>
  <si>
    <t>TOPPING OREO CRUMB</t>
  </si>
  <si>
    <t>TOPPING PINEAPPLE</t>
  </si>
  <si>
    <t>TOPPING RASPBERRY</t>
  </si>
  <si>
    <t>TOPPING SALTED TOFFEE</t>
  </si>
  <si>
    <t>TOPPING STRAWBERRY</t>
  </si>
  <si>
    <t>TORTILLA 10 INCH</t>
  </si>
  <si>
    <t>TORTILLA 8 INCH</t>
  </si>
  <si>
    <t>TRAYMAT NON PROMOTIONAL</t>
  </si>
  <si>
    <t>TRAYS 4 CUP CARRY</t>
  </si>
  <si>
    <t>TRAYS CONE HOLDERS</t>
  </si>
  <si>
    <t>UTENSIL CUTLERY SET 2 PCE</t>
  </si>
  <si>
    <t>UTENSIL FORK BULK</t>
  </si>
  <si>
    <t>UTENSIL KNIFE SERRATED BULK</t>
  </si>
  <si>
    <t>UTENSIL SPOON BULK</t>
  </si>
  <si>
    <t>UTENSIL STIRRER BULK</t>
  </si>
  <si>
    <t>WATER 250ML</t>
  </si>
  <si>
    <t>WATER 600ML</t>
  </si>
  <si>
    <t>WRAP CHEESEBURGER</t>
  </si>
  <si>
    <t xml:space="preserve">WRAP DBL CHEESEBURGER </t>
  </si>
  <si>
    <t>WRAP HAMBURGER</t>
  </si>
  <si>
    <t>WRAP MINI SNACK</t>
  </si>
  <si>
    <t>WRAP MULTI 4 IN 1 GENERIC</t>
  </si>
  <si>
    <t>WRAP MULTI BREAKFAST</t>
  </si>
  <si>
    <t>WRAP MULTI MCWRAP</t>
  </si>
  <si>
    <t>YOG YOPLAIT STRAWBERRY</t>
  </si>
  <si>
    <t>search match</t>
  </si>
  <si>
    <t xml:space="preserve">Type part of the product name in yellow box below then press enter </t>
  </si>
  <si>
    <t>bag</t>
  </si>
  <si>
    <t>:P</t>
  </si>
  <si>
    <t>CHICK PATTIES FC</t>
  </si>
  <si>
    <t xml:space="preserve"> Submit this form by 8am (AEST), the day after you receive your Order Proposal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</si>
</sst>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font>
      <sz val="11"/>
      <color theme="1"/>
      <name val="Calibri"/>
      <family val="2"/>
      <scheme val="minor"/>
    </font>
    <font>
      <b/>
      <sz val="12"/>
      <color indexed="8"/>
      <name val="Arial"/>
      <family val="2"/>
    </font>
    <font>
      <b/>
      <sz val="10"/>
      <color indexed="8"/>
      <name val="Arial"/>
      <family val="2"/>
    </font>
    <font>
      <b/>
      <sz val="11"/>
      <color indexed="8"/>
      <name val="Arial"/>
      <family val="2"/>
    </font>
    <font>
      <sz val="16"/>
      <color indexed="8"/>
      <name val="Calibri"/>
      <family val="2"/>
    </font>
    <font>
      <b/>
      <sz val="14"/>
      <name val="Arial"/>
      <family val="2"/>
    </font>
    <font>
      <b/>
      <sz val="10"/>
      <name val="Arial"/>
      <family val="2"/>
    </font>
    <font>
      <sz val="12"/>
      <color indexed="8"/>
      <name val="Arial"/>
      <family val="2"/>
    </font>
    <font>
      <sz val="12"/>
      <name val="Arial"/>
      <family val="2"/>
    </font>
    <font>
      <sz val="11"/>
      <name val="Arial"/>
      <family val="2"/>
    </font>
    <font>
      <b/>
      <sz val="11"/>
      <name val="Arial"/>
      <family val="2"/>
    </font>
    <font>
      <sz val="11"/>
      <color indexed="8"/>
      <name val="Arial"/>
      <family val="2"/>
    </font>
    <font>
      <b/>
      <sz val="10"/>
      <color indexed="9"/>
      <name val="Arial"/>
      <family val="2"/>
    </font>
    <font>
      <sz val="11"/>
      <color indexed="9"/>
      <name val="Arial"/>
      <family val="2"/>
    </font>
    <font>
      <b/>
      <u/>
      <sz val="16"/>
      <name val="Arial"/>
      <family val="2"/>
    </font>
    <font>
      <b/>
      <sz val="16"/>
      <name val="Arial"/>
      <family val="2"/>
    </font>
    <font>
      <sz val="8"/>
      <name val="Arial"/>
      <family val="2"/>
    </font>
    <font>
      <i/>
      <sz val="12"/>
      <color indexed="8"/>
      <name val="Arial"/>
      <family val="2"/>
    </font>
    <font>
      <b/>
      <sz val="11"/>
      <color theme="1"/>
      <name val="Calibri"/>
      <family val="2"/>
      <scheme val="minor"/>
    </font>
    <font>
      <sz val="11"/>
      <color theme="1"/>
      <name val="Arial"/>
      <family val="2"/>
    </font>
    <font>
      <sz val="11"/>
      <color theme="0"/>
      <name val="Arial"/>
      <family val="2"/>
    </font>
    <font>
      <sz val="11"/>
      <color rgb="FF996633"/>
      <name val="Arial"/>
      <family val="2"/>
    </font>
    <font>
      <sz val="8"/>
      <color theme="1"/>
      <name val="Arial"/>
      <family val="2"/>
    </font>
    <font>
      <sz val="12"/>
      <color theme="1"/>
      <name val="Arial"/>
      <family val="2"/>
    </font>
    <font>
      <b/>
      <sz val="12"/>
      <color theme="0"/>
      <name val="Arial"/>
      <family val="2"/>
    </font>
    <font>
      <b/>
      <sz val="16"/>
      <color theme="0"/>
      <name val="Arial"/>
      <family val="2"/>
    </font>
    <font>
      <b/>
      <sz val="11"/>
      <color theme="1"/>
      <name val="Arial"/>
      <family val="2"/>
    </font>
    <font>
      <b/>
      <sz val="12"/>
      <color theme="1"/>
      <name val="Arial"/>
      <family val="2"/>
    </font>
    <font>
      <u/>
      <sz val="16"/>
      <color theme="4"/>
      <name val="Arial Black"/>
      <family val="2"/>
    </font>
    <font>
      <sz val="8"/>
      <name val="Calibri"/>
      <family val="2"/>
      <scheme val="minor"/>
    </font>
    <font>
      <sz val="18"/>
      <color theme="1"/>
      <name val="Speedee"/>
      <family val="2"/>
    </font>
    <font>
      <sz val="10"/>
      <color theme="1"/>
      <name val="Speedee"/>
      <family val="2"/>
    </font>
    <font>
      <sz val="30"/>
      <color theme="1"/>
      <name val="Speedee"/>
      <family val="2"/>
    </font>
    <font>
      <sz val="11"/>
      <color rgb="FFFF0000"/>
      <name val="Arial"/>
      <family val="2"/>
    </font>
    <font>
      <sz val="18"/>
      <color theme="0"/>
      <name val="Speedee"/>
      <family val="2"/>
    </font>
    <font>
      <b/>
      <sz val="12"/>
      <name val="Arial"/>
      <family val="2"/>
    </font>
    <font>
      <b/>
      <sz val="11"/>
      <color theme="1"/>
      <name val="Aptos Narrow"/>
      <family val="2"/>
    </font>
    <font>
      <sz val="11"/>
      <color rgb="FF050505"/>
      <name val="Segoe UI Historic"/>
      <family val="2"/>
    </font>
    <font>
      <b/>
      <sz val="11"/>
      <color rgb="FF050505"/>
      <name val="Inherit"/>
    </font>
    <font>
      <b/>
      <sz val="11"/>
      <color rgb="FF050505"/>
      <name val="Segoe UI Historic"/>
      <family val="2"/>
    </font>
  </fonts>
  <fills count="18">
    <fill>
      <patternFill patternType="none"/>
    </fill>
    <fill>
      <patternFill patternType="gray125"/>
    </fill>
    <fill>
      <patternFill patternType="solid">
        <fgColor theme="5" tint="0.79998168889431442"/>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theme="0" tint="-4.9989318521683403E-2"/>
        <bgColor indexed="64"/>
      </patternFill>
    </fill>
    <fill>
      <patternFill patternType="solid">
        <fgColor theme="0"/>
        <bgColor indexed="64"/>
      </patternFill>
    </fill>
    <fill>
      <patternFill patternType="solid">
        <fgColor theme="1"/>
        <bgColor indexed="64"/>
      </patternFill>
    </fill>
    <fill>
      <patternFill patternType="solid">
        <fgColor rgb="FFFF0000"/>
        <bgColor indexed="64"/>
      </patternFill>
    </fill>
    <fill>
      <patternFill patternType="solid">
        <fgColor theme="3" tint="0.79998168889431442"/>
        <bgColor indexed="64"/>
      </patternFill>
    </fill>
    <fill>
      <patternFill patternType="solid">
        <fgColor theme="4"/>
        <bgColor indexed="64"/>
      </patternFill>
    </fill>
    <fill>
      <patternFill patternType="solid">
        <fgColor theme="9"/>
        <bgColor indexed="64"/>
      </patternFill>
    </fill>
    <fill>
      <patternFill patternType="solid">
        <fgColor rgb="FFFFFF00"/>
        <bgColor indexed="64"/>
      </patternFill>
    </fill>
    <fill>
      <patternFill patternType="solid">
        <fgColor rgb="FF00B050"/>
        <bgColor indexed="64"/>
      </patternFill>
    </fill>
    <fill>
      <patternFill patternType="solid">
        <fgColor theme="6" tint="0.59999389629810485"/>
        <bgColor indexed="64"/>
      </patternFill>
    </fill>
    <fill>
      <patternFill patternType="solid">
        <fgColor theme="4" tint="0.79998168889431442"/>
        <bgColor indexed="64"/>
      </patternFill>
    </fill>
    <fill>
      <patternFill patternType="solid">
        <fgColor rgb="FFFFC000"/>
        <bgColor indexed="64"/>
      </patternFill>
    </fill>
    <fill>
      <patternFill patternType="solid">
        <fgColor theme="3" tint="0.59999389629810485"/>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medium">
        <color indexed="64"/>
      </top>
      <bottom/>
      <diagonal/>
    </border>
    <border>
      <left style="medium">
        <color indexed="64"/>
      </left>
      <right/>
      <top/>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diagonal/>
    </border>
    <border>
      <left/>
      <right style="medium">
        <color indexed="64"/>
      </right>
      <top/>
      <bottom style="thin">
        <color theme="4" tint="0.39997558519241921"/>
      </bottom>
      <diagonal/>
    </border>
    <border>
      <left style="medium">
        <color indexed="64"/>
      </left>
      <right/>
      <top/>
      <bottom style="thin">
        <color theme="4" tint="0.39997558519241921"/>
      </bottom>
      <diagonal/>
    </border>
  </borders>
  <cellStyleXfs count="1">
    <xf numFmtId="0" fontId="0" fillId="0" borderId="0"/>
  </cellStyleXfs>
  <cellXfs count="177">
    <xf numFmtId="0" fontId="0" fillId="0" borderId="0" xfId="0"/>
    <xf numFmtId="0" fontId="1" fillId="0" borderId="1" xfId="0" applyFont="1" applyBorder="1" applyAlignment="1">
      <alignment wrapText="1"/>
    </xf>
    <xf numFmtId="0" fontId="19" fillId="0" borderId="0" xfId="0" applyFont="1"/>
    <xf numFmtId="0" fontId="11" fillId="2" borderId="1" xfId="0" applyFont="1" applyFill="1" applyBorder="1" applyAlignment="1">
      <alignment horizontal="center" vertical="center" wrapText="1"/>
    </xf>
    <xf numFmtId="0" fontId="19" fillId="4" borderId="1" xfId="0" applyFont="1" applyFill="1" applyBorder="1"/>
    <xf numFmtId="0" fontId="14" fillId="6" borderId="5" xfId="0" applyFont="1" applyFill="1" applyBorder="1" applyAlignment="1">
      <alignment horizontal="center" vertical="center" wrapText="1"/>
    </xf>
    <xf numFmtId="0" fontId="19" fillId="8" borderId="8" xfId="0" applyFont="1" applyFill="1" applyBorder="1"/>
    <xf numFmtId="0" fontId="19" fillId="8" borderId="9" xfId="0" applyFont="1" applyFill="1" applyBorder="1"/>
    <xf numFmtId="0" fontId="24" fillId="8" borderId="1" xfId="0" applyFont="1" applyFill="1" applyBorder="1" applyAlignment="1">
      <alignment horizontal="center" wrapText="1"/>
    </xf>
    <xf numFmtId="0" fontId="1" fillId="5" borderId="7" xfId="0" applyFont="1" applyFill="1" applyBorder="1" applyAlignment="1">
      <alignment horizontal="center" wrapText="1"/>
    </xf>
    <xf numFmtId="0" fontId="11" fillId="5" borderId="7" xfId="0" applyFont="1" applyFill="1" applyBorder="1" applyAlignment="1">
      <alignment horizontal="left" vertical="center" wrapText="1"/>
    </xf>
    <xf numFmtId="0" fontId="11" fillId="9" borderId="1" xfId="0" applyFont="1" applyFill="1" applyBorder="1" applyAlignment="1">
      <alignment horizontal="left" vertical="center" wrapText="1"/>
    </xf>
    <xf numFmtId="0" fontId="11" fillId="9" borderId="1" xfId="0" applyFont="1" applyFill="1" applyBorder="1" applyAlignment="1">
      <alignment horizontal="center" vertical="center" wrapText="1"/>
    </xf>
    <xf numFmtId="0" fontId="19" fillId="11" borderId="1" xfId="0" applyFont="1" applyFill="1" applyBorder="1"/>
    <xf numFmtId="0" fontId="11" fillId="5" borderId="3" xfId="0" applyFont="1" applyFill="1" applyBorder="1" applyAlignment="1">
      <alignment horizontal="left" vertical="center" wrapText="1"/>
    </xf>
    <xf numFmtId="0" fontId="33" fillId="0" borderId="0" xfId="0" applyFont="1"/>
    <xf numFmtId="0" fontId="19" fillId="0" borderId="5" xfId="0" applyFont="1" applyBorder="1"/>
    <xf numFmtId="0" fontId="19" fillId="0" borderId="20" xfId="0" applyFont="1" applyBorder="1"/>
    <xf numFmtId="0" fontId="33" fillId="0" borderId="20" xfId="0" applyFont="1" applyBorder="1"/>
    <xf numFmtId="0" fontId="19" fillId="0" borderId="8" xfId="0" applyFont="1" applyBorder="1"/>
    <xf numFmtId="0" fontId="19" fillId="0" borderId="9" xfId="0" applyFont="1" applyBorder="1"/>
    <xf numFmtId="0" fontId="19" fillId="0" borderId="21" xfId="0" applyFont="1" applyBorder="1"/>
    <xf numFmtId="0" fontId="11" fillId="9" borderId="23" xfId="0" applyFont="1" applyFill="1" applyBorder="1" applyAlignment="1">
      <alignment horizontal="left" vertical="center" wrapText="1"/>
    </xf>
    <xf numFmtId="0" fontId="11" fillId="9" borderId="23" xfId="0" applyFont="1" applyFill="1" applyBorder="1" applyAlignment="1">
      <alignment horizontal="center" vertical="center" wrapText="1"/>
    </xf>
    <xf numFmtId="0" fontId="19" fillId="4" borderId="23" xfId="0" applyFont="1" applyFill="1" applyBorder="1"/>
    <xf numFmtId="0" fontId="19" fillId="4" borderId="24" xfId="0" applyFont="1" applyFill="1" applyBorder="1"/>
    <xf numFmtId="0" fontId="19" fillId="4" borderId="25" xfId="0" applyFont="1" applyFill="1" applyBorder="1"/>
    <xf numFmtId="0" fontId="11" fillId="14" borderId="23" xfId="0" applyFont="1" applyFill="1" applyBorder="1" applyAlignment="1">
      <alignment horizontal="center" vertical="center" wrapText="1"/>
    </xf>
    <xf numFmtId="0" fontId="11" fillId="14" borderId="1" xfId="0" applyFont="1" applyFill="1" applyBorder="1" applyAlignment="1">
      <alignment horizontal="center" vertical="center" wrapText="1"/>
    </xf>
    <xf numFmtId="0" fontId="11" fillId="9" borderId="22" xfId="0" applyFont="1" applyFill="1" applyBorder="1" applyAlignment="1">
      <alignment horizontal="left" vertical="center" wrapText="1"/>
    </xf>
    <xf numFmtId="0" fontId="11" fillId="14" borderId="22" xfId="0" applyFont="1" applyFill="1" applyBorder="1" applyAlignment="1">
      <alignment horizontal="center" vertical="center" wrapText="1"/>
    </xf>
    <xf numFmtId="0" fontId="11" fillId="9" borderId="22" xfId="0" applyFont="1" applyFill="1" applyBorder="1" applyAlignment="1">
      <alignment horizontal="center" vertical="center" wrapText="1"/>
    </xf>
    <xf numFmtId="0" fontId="19" fillId="4" borderId="22" xfId="0" applyFont="1" applyFill="1" applyBorder="1"/>
    <xf numFmtId="0" fontId="19" fillId="4" borderId="26" xfId="0" applyFont="1" applyFill="1" applyBorder="1"/>
    <xf numFmtId="0" fontId="24" fillId="10" borderId="22" xfId="0" applyFont="1" applyFill="1" applyBorder="1" applyAlignment="1">
      <alignment horizontal="center" vertical="center" wrapText="1"/>
    </xf>
    <xf numFmtId="0" fontId="24" fillId="13" borderId="22" xfId="0" applyFont="1" applyFill="1" applyBorder="1" applyAlignment="1">
      <alignment horizontal="center" vertical="center" wrapText="1"/>
    </xf>
    <xf numFmtId="0" fontId="1" fillId="5" borderId="1" xfId="0" applyFont="1" applyFill="1" applyBorder="1" applyAlignment="1">
      <alignment horizontal="center" wrapText="1"/>
    </xf>
    <xf numFmtId="0" fontId="8" fillId="6" borderId="12" xfId="0" applyFont="1" applyFill="1" applyBorder="1" applyAlignment="1">
      <alignment horizontal="left" vertical="center"/>
    </xf>
    <xf numFmtId="0" fontId="11" fillId="6" borderId="3" xfId="0" applyFont="1" applyFill="1" applyBorder="1" applyAlignment="1">
      <alignment vertical="center" wrapText="1"/>
    </xf>
    <xf numFmtId="0" fontId="11" fillId="6" borderId="7" xfId="0" applyFont="1" applyFill="1" applyBorder="1" applyAlignment="1">
      <alignment horizontal="left" vertical="center" wrapText="1"/>
    </xf>
    <xf numFmtId="0" fontId="35" fillId="0" borderId="3" xfId="0" applyFont="1" applyBorder="1" applyAlignment="1">
      <alignment horizontal="center" vertical="center" wrapText="1"/>
    </xf>
    <xf numFmtId="0" fontId="24" fillId="3" borderId="22" xfId="0" applyFont="1" applyFill="1" applyBorder="1" applyAlignment="1">
      <alignment horizontal="center" vertical="center" wrapText="1"/>
    </xf>
    <xf numFmtId="0" fontId="5" fillId="0" borderId="5" xfId="0" applyFont="1" applyBorder="1" applyAlignment="1">
      <alignment vertical="center"/>
    </xf>
    <xf numFmtId="0" fontId="5" fillId="0" borderId="0" xfId="0" applyFont="1" applyAlignment="1">
      <alignment vertical="center"/>
    </xf>
    <xf numFmtId="0" fontId="14" fillId="6" borderId="0" xfId="0" applyFont="1" applyFill="1" applyAlignment="1">
      <alignment horizontal="center" vertical="center"/>
    </xf>
    <xf numFmtId="0" fontId="9" fillId="0" borderId="0" xfId="0" applyFont="1" applyAlignment="1">
      <alignment vertical="center"/>
    </xf>
    <xf numFmtId="0" fontId="7" fillId="0" borderId="5" xfId="0" applyFont="1" applyBorder="1" applyAlignment="1">
      <alignment horizontal="center" vertical="center" wrapText="1"/>
    </xf>
    <xf numFmtId="0" fontId="7" fillId="0" borderId="0" xfId="0" applyFont="1" applyAlignment="1">
      <alignment vertical="center" wrapText="1"/>
    </xf>
    <xf numFmtId="0" fontId="2" fillId="0" borderId="5" xfId="0" applyFont="1" applyBorder="1" applyAlignment="1">
      <alignment wrapText="1"/>
    </xf>
    <xf numFmtId="0" fontId="3" fillId="0" borderId="0" xfId="0" applyFont="1" applyAlignment="1">
      <alignment horizontal="center" wrapText="1"/>
    </xf>
    <xf numFmtId="0" fontId="19" fillId="0" borderId="0" xfId="0" applyFont="1" applyAlignment="1">
      <alignment horizontal="center"/>
    </xf>
    <xf numFmtId="0" fontId="20" fillId="0" borderId="0" xfId="0" applyFont="1"/>
    <xf numFmtId="0" fontId="35" fillId="0" borderId="28" xfId="0" applyFont="1" applyBorder="1" applyAlignment="1">
      <alignment horizontal="center" vertical="center" wrapText="1"/>
    </xf>
    <xf numFmtId="0" fontId="19" fillId="7" borderId="0" xfId="0" applyFont="1" applyFill="1"/>
    <xf numFmtId="0" fontId="19" fillId="0" borderId="5" xfId="0" applyFont="1" applyBorder="1" applyAlignment="1">
      <alignment horizontal="right"/>
    </xf>
    <xf numFmtId="0" fontId="19" fillId="0" borderId="0" xfId="0" applyFont="1" applyAlignment="1">
      <alignment horizontal="right"/>
    </xf>
    <xf numFmtId="0" fontId="19" fillId="0" borderId="13" xfId="0" applyFont="1" applyBorder="1"/>
    <xf numFmtId="0" fontId="19" fillId="0" borderId="29" xfId="0" applyFont="1" applyBorder="1"/>
    <xf numFmtId="0" fontId="24" fillId="3" borderId="14" xfId="0" applyFont="1" applyFill="1" applyBorder="1" applyAlignment="1">
      <alignment horizontal="center" vertical="center" wrapText="1"/>
    </xf>
    <xf numFmtId="0" fontId="19" fillId="4" borderId="27" xfId="0" applyFont="1" applyFill="1" applyBorder="1"/>
    <xf numFmtId="0" fontId="19" fillId="4" borderId="2" xfId="0" applyFont="1" applyFill="1" applyBorder="1"/>
    <xf numFmtId="0" fontId="19" fillId="4" borderId="14" xfId="0" applyFont="1" applyFill="1" applyBorder="1"/>
    <xf numFmtId="0" fontId="19" fillId="11" borderId="2" xfId="0" applyFont="1" applyFill="1" applyBorder="1"/>
    <xf numFmtId="0" fontId="5" fillId="0" borderId="20" xfId="0" applyFont="1" applyBorder="1" applyAlignment="1">
      <alignment vertical="center"/>
    </xf>
    <xf numFmtId="0" fontId="14" fillId="6" borderId="20" xfId="0" applyFont="1" applyFill="1" applyBorder="1" applyAlignment="1">
      <alignment horizontal="center" vertical="center"/>
    </xf>
    <xf numFmtId="0" fontId="8" fillId="6" borderId="31" xfId="0" applyFont="1" applyFill="1" applyBorder="1" applyAlignment="1">
      <alignment horizontal="left" vertical="center"/>
    </xf>
    <xf numFmtId="0" fontId="9" fillId="0" borderId="20" xfId="0" applyFont="1" applyBorder="1" applyAlignment="1">
      <alignment vertical="center"/>
    </xf>
    <xf numFmtId="0" fontId="1" fillId="5" borderId="25" xfId="0" applyFont="1" applyFill="1" applyBorder="1" applyAlignment="1">
      <alignment horizontal="center" wrapText="1"/>
    </xf>
    <xf numFmtId="0" fontId="19" fillId="5" borderId="25" xfId="0" applyFont="1" applyFill="1" applyBorder="1" applyAlignment="1">
      <alignment horizontal="center" vertical="center"/>
    </xf>
    <xf numFmtId="0" fontId="19" fillId="8" borderId="21" xfId="0" applyFont="1" applyFill="1" applyBorder="1"/>
    <xf numFmtId="0" fontId="7" fillId="0" borderId="20" xfId="0" applyFont="1" applyBorder="1" applyAlignment="1">
      <alignment vertical="center" wrapText="1"/>
    </xf>
    <xf numFmtId="0" fontId="19" fillId="0" borderId="20" xfId="0" applyFont="1" applyBorder="1" applyAlignment="1">
      <alignment horizontal="center"/>
    </xf>
    <xf numFmtId="0" fontId="1" fillId="0" borderId="29" xfId="0" applyFont="1" applyBorder="1" applyAlignment="1">
      <alignment horizontal="center" vertical="center" wrapText="1"/>
    </xf>
    <xf numFmtId="0" fontId="11" fillId="0" borderId="24" xfId="0" applyFont="1" applyBorder="1" applyAlignment="1">
      <alignment horizontal="left" vertical="center" wrapText="1"/>
    </xf>
    <xf numFmtId="0" fontId="11" fillId="0" borderId="25" xfId="0" applyFont="1" applyBorder="1" applyAlignment="1">
      <alignment horizontal="left" vertical="center" wrapText="1"/>
    </xf>
    <xf numFmtId="0" fontId="11" fillId="0" borderId="26" xfId="0" applyFont="1" applyBorder="1" applyAlignment="1">
      <alignment horizontal="left" vertical="center" wrapText="1"/>
    </xf>
    <xf numFmtId="0" fontId="26" fillId="0" borderId="20" xfId="0" applyFont="1" applyBorder="1" applyAlignment="1">
      <alignment horizontal="right"/>
    </xf>
    <xf numFmtId="0" fontId="19" fillId="15" borderId="0" xfId="0" applyFont="1" applyFill="1"/>
    <xf numFmtId="0" fontId="19" fillId="15" borderId="20" xfId="0" applyFont="1" applyFill="1" applyBorder="1"/>
    <xf numFmtId="0" fontId="7" fillId="15" borderId="0" xfId="0" applyFont="1" applyFill="1" applyAlignment="1">
      <alignment vertical="center" wrapText="1"/>
    </xf>
    <xf numFmtId="0" fontId="33" fillId="15" borderId="20" xfId="0" applyFont="1" applyFill="1" applyBorder="1"/>
    <xf numFmtId="0" fontId="24" fillId="7" borderId="1" xfId="0" applyFont="1" applyFill="1" applyBorder="1" applyAlignment="1">
      <alignment horizontal="center" vertical="center"/>
    </xf>
    <xf numFmtId="0" fontId="23" fillId="6" borderId="13" xfId="0" applyFont="1" applyFill="1" applyBorder="1" applyAlignment="1">
      <alignment horizontal="center" vertical="center"/>
    </xf>
    <xf numFmtId="0" fontId="0" fillId="0" borderId="15" xfId="0" applyBorder="1" applyAlignment="1">
      <alignment horizontal="center" vertical="center"/>
    </xf>
    <xf numFmtId="0" fontId="23" fillId="6" borderId="12" xfId="0" applyFont="1" applyFill="1" applyBorder="1" applyAlignment="1">
      <alignment horizontal="center" vertical="center"/>
    </xf>
    <xf numFmtId="0" fontId="0" fillId="0" borderId="12" xfId="0" applyBorder="1" applyAlignment="1">
      <alignment horizontal="center" vertical="center"/>
    </xf>
    <xf numFmtId="0" fontId="35" fillId="0" borderId="33" xfId="0" applyFont="1" applyBorder="1" applyAlignment="1">
      <alignment horizontal="center" vertical="center" wrapText="1"/>
    </xf>
    <xf numFmtId="0" fontId="11" fillId="6" borderId="34" xfId="0" applyFont="1" applyFill="1" applyBorder="1" applyAlignment="1">
      <alignment vertical="center" wrapText="1"/>
    </xf>
    <xf numFmtId="0" fontId="11" fillId="6" borderId="33" xfId="0" applyFont="1" applyFill="1" applyBorder="1" applyAlignment="1">
      <alignment vertical="center" wrapText="1"/>
    </xf>
    <xf numFmtId="0" fontId="19" fillId="0" borderId="33" xfId="0" applyFont="1" applyBorder="1"/>
    <xf numFmtId="0" fontId="19" fillId="0" borderId="35" xfId="0" applyFont="1" applyBorder="1"/>
    <xf numFmtId="0" fontId="0" fillId="16" borderId="0" xfId="0" applyFill="1"/>
    <xf numFmtId="0" fontId="20" fillId="7" borderId="5" xfId="0" applyFont="1" applyFill="1" applyBorder="1" applyAlignment="1">
      <alignment horizontal="center" vertical="center"/>
    </xf>
    <xf numFmtId="0" fontId="20" fillId="7" borderId="0" xfId="0" applyFont="1" applyFill="1" applyAlignment="1">
      <alignment horizontal="center" vertical="center"/>
    </xf>
    <xf numFmtId="0" fontId="20" fillId="7" borderId="20" xfId="0" applyFont="1" applyFill="1" applyBorder="1" applyAlignment="1">
      <alignment vertical="center"/>
    </xf>
    <xf numFmtId="0" fontId="19" fillId="0" borderId="4" xfId="0" applyFont="1" applyBorder="1"/>
    <xf numFmtId="0" fontId="19" fillId="0" borderId="19" xfId="0" applyFont="1" applyBorder="1"/>
    <xf numFmtId="0" fontId="30" fillId="17" borderId="6" xfId="0" applyFont="1" applyFill="1" applyBorder="1" applyAlignment="1">
      <alignment horizontal="centerContinuous" vertical="top"/>
    </xf>
    <xf numFmtId="0" fontId="30" fillId="17" borderId="4" xfId="0" applyFont="1" applyFill="1" applyBorder="1" applyAlignment="1">
      <alignment horizontal="centerContinuous" vertical="top"/>
    </xf>
    <xf numFmtId="0" fontId="30" fillId="17" borderId="19" xfId="0" applyFont="1" applyFill="1" applyBorder="1" applyAlignment="1">
      <alignment horizontal="centerContinuous" vertical="top"/>
    </xf>
    <xf numFmtId="0" fontId="34" fillId="7" borderId="6" xfId="0" applyFont="1" applyFill="1" applyBorder="1" applyAlignment="1">
      <alignment horizontal="center" vertical="center"/>
    </xf>
    <xf numFmtId="0" fontId="34" fillId="7" borderId="19" xfId="0" applyFont="1" applyFill="1" applyBorder="1" applyAlignment="1">
      <alignment horizontal="center" vertical="center"/>
    </xf>
    <xf numFmtId="0" fontId="0" fillId="0" borderId="5" xfId="0" applyBorder="1"/>
    <xf numFmtId="0" fontId="0" fillId="0" borderId="36" xfId="0" applyBorder="1"/>
    <xf numFmtId="0" fontId="37" fillId="0" borderId="5" xfId="0" applyFont="1" applyBorder="1"/>
    <xf numFmtId="0" fontId="37" fillId="0" borderId="20" xfId="0" applyFont="1" applyBorder="1"/>
    <xf numFmtId="0" fontId="0" fillId="0" borderId="20" xfId="0" applyBorder="1"/>
    <xf numFmtId="0" fontId="38" fillId="0" borderId="5" xfId="0" applyFont="1" applyBorder="1" applyAlignment="1">
      <alignment vertical="center"/>
    </xf>
    <xf numFmtId="0" fontId="39" fillId="0" borderId="5" xfId="0" applyFont="1" applyBorder="1"/>
    <xf numFmtId="0" fontId="39" fillId="0" borderId="20" xfId="0" applyFont="1" applyBorder="1"/>
    <xf numFmtId="0" fontId="0" fillId="0" borderId="37" xfId="0" applyBorder="1"/>
    <xf numFmtId="0" fontId="36" fillId="0" borderId="5" xfId="0" applyFont="1" applyBorder="1"/>
    <xf numFmtId="0" fontId="19" fillId="0" borderId="6" xfId="0" applyFont="1" applyBorder="1" applyAlignment="1">
      <alignment horizontal="right" indent="1"/>
    </xf>
    <xf numFmtId="0" fontId="19" fillId="0" borderId="5" xfId="0" applyFont="1" applyBorder="1" applyAlignment="1">
      <alignment horizontal="right" indent="1"/>
    </xf>
    <xf numFmtId="0" fontId="19" fillId="0" borderId="8" xfId="0" applyFont="1" applyBorder="1" applyAlignment="1">
      <alignment horizontal="right" indent="1"/>
    </xf>
    <xf numFmtId="20" fontId="32" fillId="12" borderId="5" xfId="0" applyNumberFormat="1" applyFont="1" applyFill="1" applyBorder="1" applyAlignment="1">
      <alignment horizontal="center" vertical="center"/>
    </xf>
    <xf numFmtId="0" fontId="32" fillId="12" borderId="0" xfId="0" applyFont="1" applyFill="1" applyAlignment="1">
      <alignment horizontal="center" vertical="center"/>
    </xf>
    <xf numFmtId="0" fontId="32" fillId="12" borderId="20" xfId="0" applyFont="1" applyFill="1" applyBorder="1" applyAlignment="1">
      <alignment horizontal="center" vertical="center"/>
    </xf>
    <xf numFmtId="0" fontId="32" fillId="12" borderId="5" xfId="0" applyFont="1" applyFill="1" applyBorder="1" applyAlignment="1">
      <alignment horizontal="center" vertical="center"/>
    </xf>
    <xf numFmtId="0" fontId="31" fillId="17" borderId="5" xfId="0" applyFont="1" applyFill="1" applyBorder="1" applyAlignment="1">
      <alignment horizontal="center" vertical="center" wrapText="1"/>
    </xf>
    <xf numFmtId="0" fontId="31" fillId="17" borderId="0" xfId="0" applyFont="1" applyFill="1" applyAlignment="1">
      <alignment horizontal="center" vertical="center" wrapText="1"/>
    </xf>
    <xf numFmtId="0" fontId="31" fillId="17" borderId="20" xfId="0" applyFont="1" applyFill="1" applyBorder="1" applyAlignment="1">
      <alignment horizontal="center" vertical="center" wrapText="1"/>
    </xf>
    <xf numFmtId="0" fontId="24" fillId="3" borderId="12" xfId="0" applyFont="1" applyFill="1" applyBorder="1" applyAlignment="1">
      <alignment horizontal="center" wrapText="1"/>
    </xf>
    <xf numFmtId="0" fontId="24" fillId="3" borderId="2" xfId="0" applyFont="1" applyFill="1" applyBorder="1" applyAlignment="1">
      <alignment horizontal="center" wrapText="1"/>
    </xf>
    <xf numFmtId="0" fontId="15" fillId="0" borderId="6" xfId="0" applyFont="1" applyBorder="1" applyAlignment="1">
      <alignment vertical="top" wrapText="1"/>
    </xf>
    <xf numFmtId="0" fontId="21" fillId="0" borderId="4" xfId="0" applyFont="1" applyBorder="1"/>
    <xf numFmtId="0" fontId="21" fillId="0" borderId="19" xfId="0" applyFont="1" applyBorder="1"/>
    <xf numFmtId="0" fontId="6" fillId="0" borderId="0" xfId="0" applyFont="1" applyAlignment="1">
      <alignment vertical="top" wrapText="1"/>
    </xf>
    <xf numFmtId="0" fontId="10" fillId="0" borderId="0" xfId="0" applyFont="1"/>
    <xf numFmtId="0" fontId="6" fillId="0" borderId="5" xfId="0" applyFont="1" applyBorder="1" applyAlignment="1">
      <alignment vertical="top" wrapText="1"/>
    </xf>
    <xf numFmtId="0" fontId="10" fillId="0" borderId="20" xfId="0" applyFont="1" applyBorder="1"/>
    <xf numFmtId="0" fontId="28" fillId="0" borderId="5" xfId="0" applyFont="1" applyBorder="1" applyAlignment="1">
      <alignment horizontal="center" vertical="center"/>
    </xf>
    <xf numFmtId="0" fontId="4" fillId="0" borderId="0" xfId="0" applyFont="1" applyAlignment="1">
      <alignment horizontal="center" vertical="center"/>
    </xf>
    <xf numFmtId="0" fontId="4" fillId="0" borderId="20" xfId="0" applyFont="1" applyBorder="1" applyAlignment="1">
      <alignment horizontal="center" vertical="center"/>
    </xf>
    <xf numFmtId="0" fontId="24" fillId="7" borderId="7" xfId="0" applyFont="1" applyFill="1" applyBorder="1" applyAlignment="1">
      <alignment horizontal="center" vertical="center"/>
    </xf>
    <xf numFmtId="0" fontId="24" fillId="7" borderId="1" xfId="0" applyFont="1" applyFill="1" applyBorder="1" applyAlignment="1">
      <alignment horizontal="center" vertical="center"/>
    </xf>
    <xf numFmtId="0" fontId="24" fillId="7" borderId="1" xfId="0" applyFont="1" applyFill="1" applyBorder="1" applyAlignment="1">
      <alignment horizontal="left" vertical="center"/>
    </xf>
    <xf numFmtId="0" fontId="24" fillId="7" borderId="25" xfId="0" applyFont="1" applyFill="1" applyBorder="1" applyAlignment="1">
      <alignment horizontal="left" vertical="center"/>
    </xf>
    <xf numFmtId="0" fontId="25" fillId="8" borderId="10" xfId="0" applyFont="1" applyFill="1" applyBorder="1" applyAlignment="1">
      <alignment horizontal="center" vertical="center"/>
    </xf>
    <xf numFmtId="0" fontId="25" fillId="8" borderId="11" xfId="0" applyFont="1" applyFill="1" applyBorder="1" applyAlignment="1">
      <alignment horizontal="center" vertical="center"/>
    </xf>
    <xf numFmtId="0" fontId="25" fillId="8" borderId="32" xfId="0" applyFont="1" applyFill="1" applyBorder="1" applyAlignment="1">
      <alignment horizontal="center" vertical="center"/>
    </xf>
    <xf numFmtId="0" fontId="0" fillId="0" borderId="15" xfId="0" applyBorder="1" applyAlignment="1">
      <alignment horizontal="left" vertical="center" wrapText="1"/>
    </xf>
    <xf numFmtId="0" fontId="0" fillId="0" borderId="30" xfId="0" applyBorder="1" applyAlignment="1">
      <alignment horizontal="left" vertical="center" wrapText="1"/>
    </xf>
    <xf numFmtId="0" fontId="23" fillId="6" borderId="16" xfId="0" applyFont="1" applyFill="1" applyBorder="1" applyAlignment="1">
      <alignment horizontal="center" vertical="center"/>
    </xf>
    <xf numFmtId="0" fontId="23" fillId="6" borderId="13" xfId="0" applyFont="1" applyFill="1" applyBorder="1" applyAlignment="1">
      <alignment horizontal="center" vertical="center"/>
    </xf>
    <xf numFmtId="0" fontId="0" fillId="0" borderId="17" xfId="0" applyBorder="1" applyAlignment="1">
      <alignment horizontal="center" vertical="center"/>
    </xf>
    <xf numFmtId="0" fontId="0" fillId="0" borderId="15" xfId="0" applyBorder="1" applyAlignment="1">
      <alignment horizontal="center" vertical="center"/>
    </xf>
    <xf numFmtId="0" fontId="27" fillId="6" borderId="17" xfId="0" applyFont="1" applyFill="1" applyBorder="1" applyAlignment="1">
      <alignment horizontal="center" vertical="top" wrapText="1"/>
    </xf>
    <xf numFmtId="0" fontId="18" fillId="0" borderId="15" xfId="0" applyFont="1" applyBorder="1" applyAlignment="1">
      <alignment horizontal="center" vertical="top" wrapText="1"/>
    </xf>
    <xf numFmtId="0" fontId="18" fillId="0" borderId="30" xfId="0" applyFont="1" applyBorder="1" applyAlignment="1">
      <alignment horizontal="center" vertical="top" wrapText="1"/>
    </xf>
    <xf numFmtId="0" fontId="14" fillId="6" borderId="6" xfId="0" applyFont="1" applyFill="1" applyBorder="1" applyAlignment="1">
      <alignment horizontal="center" vertical="center" wrapText="1"/>
    </xf>
    <xf numFmtId="0" fontId="14" fillId="6" borderId="4" xfId="0" applyFont="1" applyFill="1" applyBorder="1" applyAlignment="1">
      <alignment horizontal="center" vertical="center"/>
    </xf>
    <xf numFmtId="0" fontId="14" fillId="6" borderId="19" xfId="0" applyFont="1" applyFill="1" applyBorder="1" applyAlignment="1">
      <alignment horizontal="center" vertical="center"/>
    </xf>
    <xf numFmtId="0" fontId="23" fillId="6" borderId="18" xfId="0" applyFont="1" applyFill="1" applyBorder="1" applyAlignment="1">
      <alignment horizontal="center" vertical="center"/>
    </xf>
    <xf numFmtId="0" fontId="0" fillId="0" borderId="2" xfId="0" applyBorder="1" applyAlignment="1">
      <alignment horizontal="center" vertical="center"/>
    </xf>
    <xf numFmtId="0" fontId="8" fillId="6" borderId="12" xfId="0" applyFont="1" applyFill="1" applyBorder="1" applyAlignment="1">
      <alignment horizontal="left" vertical="center"/>
    </xf>
    <xf numFmtId="0" fontId="8" fillId="6" borderId="31" xfId="0" applyFont="1" applyFill="1" applyBorder="1" applyAlignment="1">
      <alignment horizontal="left" vertical="center"/>
    </xf>
    <xf numFmtId="0" fontId="23" fillId="6" borderId="7" xfId="0" applyFont="1" applyFill="1" applyBorder="1" applyAlignment="1">
      <alignment horizontal="center" vertical="center"/>
    </xf>
    <xf numFmtId="0" fontId="23" fillId="6" borderId="1" xfId="0" applyFont="1" applyFill="1" applyBorder="1" applyAlignment="1">
      <alignment horizontal="center" vertical="center"/>
    </xf>
    <xf numFmtId="0" fontId="23" fillId="6" borderId="5" xfId="0" applyFont="1" applyFill="1" applyBorder="1" applyAlignment="1">
      <alignment horizontal="left" vertical="top" wrapText="1"/>
    </xf>
    <xf numFmtId="0" fontId="23" fillId="6" borderId="0" xfId="0" applyFont="1" applyFill="1" applyAlignment="1">
      <alignment horizontal="left" vertical="top" wrapText="1"/>
    </xf>
    <xf numFmtId="0" fontId="23" fillId="6" borderId="20" xfId="0" applyFont="1" applyFill="1" applyBorder="1" applyAlignment="1">
      <alignment horizontal="left" vertical="top" wrapText="1"/>
    </xf>
    <xf numFmtId="0" fontId="8" fillId="6" borderId="13" xfId="0" applyFont="1" applyFill="1" applyBorder="1" applyAlignment="1">
      <alignment horizontal="left" vertical="center" wrapText="1"/>
    </xf>
    <xf numFmtId="0" fontId="8" fillId="6" borderId="29" xfId="0" applyFont="1" applyFill="1" applyBorder="1" applyAlignment="1">
      <alignment horizontal="left" vertical="center" wrapText="1"/>
    </xf>
    <xf numFmtId="0" fontId="8" fillId="6" borderId="13" xfId="0" applyFont="1" applyFill="1" applyBorder="1" applyAlignment="1">
      <alignment horizontal="left" vertical="center"/>
    </xf>
    <xf numFmtId="0" fontId="8" fillId="6" borderId="29" xfId="0" applyFont="1" applyFill="1" applyBorder="1" applyAlignment="1">
      <alignment horizontal="left" vertical="center"/>
    </xf>
    <xf numFmtId="0" fontId="16" fillId="0" borderId="5" xfId="0" applyFont="1" applyBorder="1"/>
    <xf numFmtId="0" fontId="22" fillId="0" borderId="0" xfId="0" applyFont="1"/>
    <xf numFmtId="0" fontId="10" fillId="0" borderId="8" xfId="0" applyFont="1" applyBorder="1"/>
    <xf numFmtId="0" fontId="26" fillId="0" borderId="9" xfId="0" applyFont="1" applyBorder="1"/>
    <xf numFmtId="0" fontId="26" fillId="0" borderId="21" xfId="0" applyFont="1" applyBorder="1"/>
    <xf numFmtId="0" fontId="3" fillId="5" borderId="1" xfId="0" applyFont="1" applyFill="1" applyBorder="1" applyAlignment="1">
      <alignment wrapText="1"/>
    </xf>
    <xf numFmtId="0" fontId="3" fillId="5" borderId="25" xfId="0" applyFont="1" applyFill="1" applyBorder="1" applyAlignment="1">
      <alignment wrapText="1"/>
    </xf>
    <xf numFmtId="0" fontId="3" fillId="5" borderId="1" xfId="0" applyFont="1" applyFill="1" applyBorder="1" applyAlignment="1">
      <alignment horizontal="left" wrapText="1"/>
    </xf>
    <xf numFmtId="0" fontId="3" fillId="5" borderId="25" xfId="0" applyFont="1" applyFill="1" applyBorder="1" applyAlignment="1">
      <alignment horizontal="left" wrapText="1"/>
    </xf>
    <xf numFmtId="14" fontId="3" fillId="5" borderId="1" xfId="0" applyNumberFormat="1" applyFont="1" applyFill="1" applyBorder="1" applyAlignment="1">
      <alignment horizontal="left" wrapText="1"/>
    </xf>
    <xf numFmtId="14" fontId="3" fillId="5" borderId="25" xfId="0" applyNumberFormat="1" applyFont="1" applyFill="1" applyBorder="1" applyAlignment="1">
      <alignment horizontal="left" wrapText="1"/>
    </xf>
  </cellXfs>
  <cellStyles count="1">
    <cellStyle name="Normal" xfId="0" builtinId="0"/>
  </cellStyles>
  <dxfs count="1">
    <dxf>
      <fill>
        <patternFill>
          <bgColor rgb="FF92D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cid:image001.png@01D99540.B6B06780"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6</xdr:col>
      <xdr:colOff>1417863</xdr:colOff>
      <xdr:row>0</xdr:row>
      <xdr:rowOff>87085</xdr:rowOff>
    </xdr:from>
    <xdr:to>
      <xdr:col>7</xdr:col>
      <xdr:colOff>1058443</xdr:colOff>
      <xdr:row>5</xdr:row>
      <xdr:rowOff>6168</xdr:rowOff>
    </xdr:to>
    <xdr:pic>
      <xdr:nvPicPr>
        <xdr:cNvPr id="1129" name="Picture 1" descr="Shape&#10;&#10;Description automatically generated with medium confidence">
          <a:extLst>
            <a:ext uri="{FF2B5EF4-FFF2-40B4-BE49-F238E27FC236}">
              <a16:creationId xmlns:a16="http://schemas.microsoft.com/office/drawing/2014/main" id="{1D882BE5-2176-6AE6-293F-4A39D6CB9EF6}"/>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9378042" y="87085"/>
          <a:ext cx="2171508" cy="12797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B050"/>
    <pageSetUpPr fitToPage="1"/>
  </sheetPr>
  <dimension ref="A1:AWB150984"/>
  <sheetViews>
    <sheetView showGridLines="0" tabSelected="1" topLeftCell="A9" zoomScale="70" zoomScaleNormal="70" workbookViewId="0">
      <selection activeCell="O21" sqref="O21"/>
    </sheetView>
  </sheetViews>
  <sheetFormatPr defaultColWidth="9.21875" defaultRowHeight="13.8"/>
  <cols>
    <col min="1" max="1" width="20.77734375" style="2" customWidth="1"/>
    <col min="2" max="2" width="23.21875" style="2" bestFit="1" customWidth="1"/>
    <col min="3" max="3" width="29.77734375" style="2" bestFit="1" customWidth="1"/>
    <col min="4" max="4" width="4.77734375" style="2" hidden="1" customWidth="1"/>
    <col min="5" max="5" width="23.21875" style="2" bestFit="1" customWidth="1"/>
    <col min="6" max="6" width="22.21875" style="2" bestFit="1" customWidth="1"/>
    <col min="7" max="7" width="37.77734375" style="2" bestFit="1" customWidth="1"/>
    <col min="8" max="8" width="17.21875" style="2" bestFit="1" customWidth="1"/>
    <col min="9" max="9" width="22.5546875" style="2" hidden="1" customWidth="1"/>
    <col min="10" max="10" width="24.44140625" style="2" hidden="1" customWidth="1"/>
    <col min="11" max="11" width="35.21875" style="2" hidden="1" customWidth="1"/>
    <col min="12" max="12" width="3.5546875" style="2" customWidth="1"/>
    <col min="13" max="13" width="9.21875" style="2" customWidth="1"/>
    <col min="14" max="14" width="19.44140625" style="2" customWidth="1"/>
    <col min="15" max="15" width="49.77734375" style="2" customWidth="1"/>
    <col min="16" max="16" width="1.77734375" style="2" customWidth="1"/>
    <col min="17" max="19" width="9.21875" style="2" customWidth="1"/>
    <col min="20" max="16384" width="9.21875" style="2"/>
  </cols>
  <sheetData>
    <row r="1" spans="1:17" ht="31.5" customHeight="1">
      <c r="B1" s="124"/>
      <c r="C1" s="125"/>
      <c r="D1" s="125"/>
      <c r="E1" s="125"/>
      <c r="F1" s="125"/>
      <c r="G1" s="125"/>
      <c r="H1" s="126"/>
    </row>
    <row r="2" spans="1:17">
      <c r="B2" s="129"/>
      <c r="C2" s="128"/>
      <c r="D2" s="128"/>
      <c r="E2" s="128"/>
      <c r="F2" s="128"/>
      <c r="G2" s="128"/>
      <c r="H2" s="130"/>
    </row>
    <row r="3" spans="1:17">
      <c r="A3" s="90"/>
      <c r="B3" s="127"/>
      <c r="C3" s="128"/>
      <c r="D3" s="128"/>
      <c r="E3" s="128"/>
      <c r="F3" s="128"/>
      <c r="G3" s="128"/>
      <c r="H3" s="128"/>
      <c r="I3" s="89"/>
      <c r="J3" s="56"/>
      <c r="K3" s="56"/>
      <c r="L3" s="56"/>
      <c r="M3" s="56"/>
      <c r="N3" s="56"/>
      <c r="O3" s="56"/>
      <c r="P3" s="56"/>
      <c r="Q3" s="57"/>
    </row>
    <row r="4" spans="1:17">
      <c r="B4" s="129"/>
      <c r="C4" s="128"/>
      <c r="D4" s="128"/>
      <c r="E4" s="128"/>
      <c r="F4" s="128"/>
      <c r="G4" s="128"/>
      <c r="H4" s="130"/>
      <c r="I4" s="77"/>
      <c r="J4" s="77"/>
      <c r="K4" s="77"/>
      <c r="L4" s="77"/>
      <c r="M4" s="77"/>
      <c r="N4" s="77"/>
      <c r="O4" s="77"/>
      <c r="P4" s="77"/>
      <c r="Q4" s="78"/>
    </row>
    <row r="5" spans="1:17" ht="31.5" customHeight="1" thickBot="1">
      <c r="B5" s="42"/>
      <c r="C5" s="43"/>
      <c r="D5" s="43"/>
      <c r="E5" s="43"/>
      <c r="F5" s="43"/>
      <c r="G5" s="43"/>
      <c r="H5" s="63"/>
      <c r="I5" s="77"/>
      <c r="J5" s="77"/>
      <c r="K5" s="77"/>
      <c r="L5" s="77"/>
      <c r="M5" s="77"/>
      <c r="N5" s="77"/>
      <c r="O5" s="77"/>
      <c r="P5" s="77"/>
      <c r="Q5" s="78"/>
    </row>
    <row r="6" spans="1:17" ht="41.25" customHeight="1">
      <c r="B6" s="150" t="s">
        <v>0</v>
      </c>
      <c r="C6" s="151"/>
      <c r="D6" s="151"/>
      <c r="E6" s="151"/>
      <c r="F6" s="151"/>
      <c r="G6" s="151"/>
      <c r="H6" s="152"/>
      <c r="I6" s="77"/>
      <c r="J6" s="77"/>
      <c r="K6" s="77"/>
      <c r="L6" s="77"/>
      <c r="M6" s="77"/>
      <c r="N6" s="77"/>
      <c r="O6" s="77"/>
      <c r="P6" s="77"/>
      <c r="Q6" s="78"/>
    </row>
    <row r="7" spans="1:17" ht="10.35" customHeight="1">
      <c r="B7" s="5"/>
      <c r="C7" s="44"/>
      <c r="D7" s="44"/>
      <c r="E7" s="44"/>
      <c r="F7" s="44"/>
      <c r="G7" s="44"/>
      <c r="H7" s="64"/>
      <c r="I7" s="77"/>
      <c r="J7" s="77"/>
      <c r="K7" s="77"/>
      <c r="L7" s="77"/>
      <c r="M7" s="77"/>
      <c r="N7" s="77"/>
      <c r="O7" s="77"/>
      <c r="P7" s="77"/>
      <c r="Q7" s="78"/>
    </row>
    <row r="8" spans="1:17" ht="51" customHeight="1">
      <c r="B8" s="159" t="s">
        <v>1</v>
      </c>
      <c r="C8" s="160"/>
      <c r="D8" s="160"/>
      <c r="E8" s="160"/>
      <c r="F8" s="160"/>
      <c r="G8" s="160"/>
      <c r="H8" s="161"/>
      <c r="I8" s="77"/>
      <c r="J8" s="77"/>
      <c r="K8" s="77"/>
      <c r="L8" s="77"/>
      <c r="M8" s="77"/>
      <c r="N8" s="77"/>
      <c r="O8" s="77"/>
      <c r="P8" s="77"/>
      <c r="Q8" s="78"/>
    </row>
    <row r="9" spans="1:17" ht="53.25" customHeight="1">
      <c r="B9" s="147" t="s">
        <v>2</v>
      </c>
      <c r="C9" s="148"/>
      <c r="D9" s="148"/>
      <c r="E9" s="148"/>
      <c r="F9" s="148"/>
      <c r="G9" s="148"/>
      <c r="H9" s="149"/>
      <c r="I9" s="77"/>
      <c r="J9" s="77"/>
      <c r="K9" s="77"/>
      <c r="L9" s="77"/>
      <c r="M9" s="77"/>
      <c r="N9" s="77"/>
      <c r="O9" s="77"/>
      <c r="P9" s="77"/>
      <c r="Q9" s="78"/>
    </row>
    <row r="10" spans="1:17" ht="21.75" customHeight="1">
      <c r="B10" s="134" t="s">
        <v>3</v>
      </c>
      <c r="C10" s="135"/>
      <c r="D10" s="81"/>
      <c r="E10" s="136"/>
      <c r="F10" s="136"/>
      <c r="G10" s="136"/>
      <c r="H10" s="137"/>
      <c r="I10" s="77"/>
      <c r="J10" s="77"/>
      <c r="K10" s="77"/>
      <c r="L10" s="77"/>
      <c r="M10" s="77"/>
      <c r="N10" s="77"/>
      <c r="O10" s="77"/>
      <c r="P10" s="77"/>
      <c r="Q10" s="78"/>
    </row>
    <row r="11" spans="1:17" ht="21.75" customHeight="1">
      <c r="B11" s="157" t="s">
        <v>4</v>
      </c>
      <c r="C11" s="158"/>
      <c r="D11" s="84"/>
      <c r="E11" s="155"/>
      <c r="F11" s="155"/>
      <c r="G11" s="155"/>
      <c r="H11" s="156"/>
      <c r="I11" s="77"/>
      <c r="J11" s="77"/>
      <c r="K11" s="77"/>
      <c r="L11" s="77"/>
      <c r="M11" s="77"/>
      <c r="N11" s="77"/>
      <c r="O11" s="77"/>
      <c r="P11" s="77"/>
      <c r="Q11" s="78"/>
    </row>
    <row r="12" spans="1:17" ht="21.75" customHeight="1">
      <c r="B12" s="153" t="s">
        <v>5</v>
      </c>
      <c r="C12" s="154"/>
      <c r="D12" s="85"/>
      <c r="E12" s="37"/>
      <c r="F12" s="37"/>
      <c r="G12" s="37"/>
      <c r="H12" s="65"/>
      <c r="I12" s="77"/>
      <c r="J12" s="77"/>
      <c r="K12" s="77"/>
      <c r="L12" s="77"/>
      <c r="M12" s="77"/>
      <c r="N12" s="77"/>
      <c r="O12" s="77"/>
      <c r="P12" s="77"/>
      <c r="Q12" s="78"/>
    </row>
    <row r="13" spans="1:17" ht="21.75" customHeight="1">
      <c r="B13" s="157" t="s">
        <v>6</v>
      </c>
      <c r="C13" s="158"/>
      <c r="D13" s="84"/>
      <c r="E13" s="155"/>
      <c r="F13" s="155"/>
      <c r="G13" s="155"/>
      <c r="H13" s="156"/>
      <c r="I13" s="77"/>
      <c r="J13" s="77"/>
      <c r="K13" s="77"/>
      <c r="L13" s="77"/>
      <c r="M13" s="77"/>
      <c r="N13" s="77"/>
      <c r="O13" s="77"/>
      <c r="P13" s="77"/>
      <c r="Q13" s="78"/>
    </row>
    <row r="14" spans="1:17" ht="21.75" customHeight="1">
      <c r="B14" s="157" t="s">
        <v>7</v>
      </c>
      <c r="C14" s="158"/>
      <c r="D14" s="82"/>
      <c r="E14" s="164"/>
      <c r="F14" s="164"/>
      <c r="G14" s="164"/>
      <c r="H14" s="165"/>
      <c r="I14" s="77"/>
      <c r="J14" s="77"/>
      <c r="K14" s="77"/>
      <c r="L14" s="77"/>
      <c r="M14" s="77"/>
      <c r="N14" s="77"/>
      <c r="O14" s="77"/>
      <c r="P14" s="77"/>
      <c r="Q14" s="78"/>
    </row>
    <row r="15" spans="1:17" ht="24" customHeight="1">
      <c r="B15" s="143" t="s">
        <v>8</v>
      </c>
      <c r="C15" s="144"/>
      <c r="D15" s="82"/>
      <c r="E15" s="162"/>
      <c r="F15" s="162"/>
      <c r="G15" s="162"/>
      <c r="H15" s="163"/>
      <c r="I15" s="77"/>
      <c r="J15" s="77"/>
      <c r="K15" s="77"/>
      <c r="L15" s="77"/>
      <c r="M15" s="77"/>
      <c r="N15" s="77"/>
      <c r="O15" s="77"/>
      <c r="P15" s="77"/>
      <c r="Q15" s="78"/>
    </row>
    <row r="16" spans="1:17" ht="22.5" customHeight="1">
      <c r="B16" s="145"/>
      <c r="C16" s="146"/>
      <c r="D16" s="83"/>
      <c r="E16" s="141"/>
      <c r="F16" s="141"/>
      <c r="G16" s="141"/>
      <c r="H16" s="142"/>
      <c r="I16" s="77"/>
      <c r="J16" s="77"/>
      <c r="K16" s="77"/>
      <c r="L16" s="77"/>
      <c r="M16" s="77"/>
      <c r="N16" s="77"/>
      <c r="O16" s="77"/>
      <c r="P16" s="77"/>
      <c r="Q16" s="78"/>
    </row>
    <row r="17" spans="2:28" ht="28.5" customHeight="1" thickBot="1">
      <c r="B17" s="42"/>
      <c r="C17" s="45"/>
      <c r="D17" s="45"/>
      <c r="E17" s="45"/>
      <c r="F17" s="45"/>
      <c r="G17" s="45"/>
      <c r="H17" s="66"/>
      <c r="I17" s="77"/>
      <c r="J17" s="77"/>
      <c r="K17" s="77"/>
      <c r="L17" s="77"/>
      <c r="M17" s="77"/>
      <c r="N17" s="77"/>
      <c r="O17" s="77"/>
      <c r="P17" s="77"/>
      <c r="Q17" s="78"/>
    </row>
    <row r="18" spans="2:28" ht="21.75" customHeight="1">
      <c r="B18" s="138" t="s">
        <v>9</v>
      </c>
      <c r="C18" s="139"/>
      <c r="D18" s="139"/>
      <c r="E18" s="139"/>
      <c r="F18" s="139"/>
      <c r="G18" s="139"/>
      <c r="H18" s="140"/>
      <c r="I18" s="77"/>
      <c r="J18" s="77"/>
      <c r="K18" s="77"/>
      <c r="L18" s="77"/>
      <c r="M18" s="77"/>
      <c r="N18" s="77"/>
      <c r="O18" s="77"/>
      <c r="P18" s="77"/>
      <c r="Q18" s="78"/>
    </row>
    <row r="19" spans="2:28" ht="28.5" customHeight="1">
      <c r="B19" s="9" t="s">
        <v>10</v>
      </c>
      <c r="C19" s="36" t="s">
        <v>11</v>
      </c>
      <c r="D19" s="36"/>
      <c r="E19" s="8" t="s">
        <v>12</v>
      </c>
      <c r="F19" s="8" t="s">
        <v>13</v>
      </c>
      <c r="G19" s="8" t="s">
        <v>14</v>
      </c>
      <c r="H19" s="67" t="s">
        <v>15</v>
      </c>
      <c r="I19" s="77"/>
      <c r="J19" s="77"/>
      <c r="K19" s="77"/>
      <c r="L19" s="77"/>
      <c r="M19" s="77"/>
      <c r="N19" s="77"/>
      <c r="O19" s="77"/>
      <c r="P19" s="77"/>
      <c r="Q19" s="78"/>
    </row>
    <row r="20" spans="2:28" ht="21.75" customHeight="1">
      <c r="B20" s="10">
        <v>11267</v>
      </c>
      <c r="C20" s="14" t="s">
        <v>16</v>
      </c>
      <c r="D20" s="14"/>
      <c r="E20" s="3" t="s">
        <v>17</v>
      </c>
      <c r="F20" s="3">
        <v>4</v>
      </c>
      <c r="G20" s="3" t="s">
        <v>4</v>
      </c>
      <c r="H20" s="68"/>
      <c r="I20" s="77"/>
      <c r="J20" s="77"/>
      <c r="K20" s="77"/>
      <c r="L20" s="77"/>
      <c r="M20" s="77"/>
      <c r="N20" s="77"/>
      <c r="O20" s="77"/>
      <c r="P20" s="77"/>
      <c r="Q20" s="78"/>
    </row>
    <row r="21" spans="2:28" ht="21.75" customHeight="1">
      <c r="B21" s="10">
        <v>6147</v>
      </c>
      <c r="C21" s="14" t="s">
        <v>18</v>
      </c>
      <c r="D21" s="14"/>
      <c r="E21" s="3" t="s">
        <v>17</v>
      </c>
      <c r="F21" s="3">
        <v>7.5</v>
      </c>
      <c r="G21" s="3" t="s">
        <v>8</v>
      </c>
      <c r="H21" s="68"/>
      <c r="I21" s="77"/>
      <c r="J21" s="77"/>
      <c r="K21" s="77"/>
      <c r="L21" s="77"/>
      <c r="M21" s="77"/>
      <c r="N21" s="77"/>
      <c r="O21" s="77"/>
      <c r="P21" s="77"/>
      <c r="Q21" s="78"/>
    </row>
    <row r="22" spans="2:28" ht="21.75" customHeight="1" thickBot="1">
      <c r="B22" s="6"/>
      <c r="C22" s="7"/>
      <c r="D22" s="7"/>
      <c r="E22" s="7"/>
      <c r="F22" s="7"/>
      <c r="G22" s="7"/>
      <c r="H22" s="69"/>
      <c r="I22" s="77"/>
      <c r="J22" s="77"/>
      <c r="K22" s="77"/>
      <c r="L22" s="77"/>
      <c r="M22" s="77"/>
      <c r="N22" s="77"/>
      <c r="O22" s="77"/>
      <c r="P22" s="77"/>
      <c r="Q22" s="78"/>
    </row>
    <row r="23" spans="2:28" ht="21.75" customHeight="1">
      <c r="B23" s="46"/>
      <c r="C23" s="47"/>
      <c r="D23" s="47"/>
      <c r="E23" s="47"/>
      <c r="F23" s="47"/>
      <c r="G23" s="47"/>
      <c r="H23" s="70"/>
      <c r="I23" s="79"/>
      <c r="J23" s="79"/>
      <c r="K23" s="79"/>
      <c r="L23" s="79"/>
      <c r="M23" s="77"/>
      <c r="N23" s="77"/>
      <c r="O23" s="77"/>
      <c r="P23" s="77"/>
      <c r="Q23" s="78"/>
    </row>
    <row r="24" spans="2:28" ht="25.5" customHeight="1">
      <c r="B24" s="131" t="s">
        <v>333</v>
      </c>
      <c r="C24" s="132"/>
      <c r="D24" s="132"/>
      <c r="E24" s="132"/>
      <c r="F24" s="132"/>
      <c r="G24" s="132"/>
      <c r="H24" s="133"/>
      <c r="I24" s="77"/>
      <c r="J24" s="77"/>
      <c r="K24" s="77"/>
      <c r="L24" s="77"/>
      <c r="M24" s="77"/>
      <c r="N24" s="77"/>
      <c r="O24" s="77"/>
      <c r="P24" s="77"/>
      <c r="Q24" s="78"/>
    </row>
    <row r="25" spans="2:28" ht="20.100000000000001" customHeight="1">
      <c r="B25" s="16"/>
      <c r="C25" s="1" t="s">
        <v>19</v>
      </c>
      <c r="D25" s="1"/>
      <c r="E25" s="171"/>
      <c r="F25" s="171"/>
      <c r="G25" s="171"/>
      <c r="H25" s="172"/>
      <c r="I25" s="77"/>
      <c r="J25" s="77"/>
      <c r="K25" s="77"/>
      <c r="L25" s="77"/>
      <c r="M25" s="77"/>
      <c r="N25" s="77"/>
      <c r="O25" s="77"/>
      <c r="P25" s="77"/>
      <c r="Q25" s="78"/>
    </row>
    <row r="26" spans="2:28" ht="20.100000000000001" customHeight="1">
      <c r="B26" s="16"/>
      <c r="C26" s="1" t="s">
        <v>20</v>
      </c>
      <c r="D26" s="1"/>
      <c r="E26" s="173"/>
      <c r="F26" s="173"/>
      <c r="G26" s="173"/>
      <c r="H26" s="174"/>
      <c r="I26" s="77"/>
      <c r="J26" s="77"/>
      <c r="K26" s="77"/>
      <c r="L26" s="77"/>
      <c r="M26" s="77"/>
      <c r="N26" s="77"/>
      <c r="O26" s="77"/>
      <c r="P26" s="77"/>
      <c r="Q26" s="78"/>
    </row>
    <row r="27" spans="2:28" ht="20.100000000000001" customHeight="1">
      <c r="B27" s="16"/>
      <c r="C27" s="1" t="s">
        <v>21</v>
      </c>
      <c r="D27" s="1"/>
      <c r="E27" s="171"/>
      <c r="F27" s="171"/>
      <c r="G27" s="171"/>
      <c r="H27" s="172"/>
      <c r="I27" s="77"/>
      <c r="J27" s="77"/>
      <c r="K27" s="77"/>
      <c r="L27" s="77"/>
      <c r="M27" s="77"/>
      <c r="N27" s="77"/>
      <c r="O27" s="77"/>
      <c r="P27" s="77"/>
      <c r="Q27" s="78"/>
    </row>
    <row r="28" spans="2:28" ht="20.100000000000001" customHeight="1">
      <c r="B28" s="16"/>
      <c r="C28" s="1" t="s">
        <v>22</v>
      </c>
      <c r="D28" s="1"/>
      <c r="E28" s="175"/>
      <c r="F28" s="175"/>
      <c r="G28" s="175"/>
      <c r="H28" s="176"/>
      <c r="I28" s="77"/>
      <c r="J28" s="77"/>
      <c r="K28" s="77"/>
      <c r="L28" s="77"/>
      <c r="M28" s="77"/>
      <c r="N28" s="77"/>
      <c r="O28" s="77"/>
      <c r="P28" s="77"/>
      <c r="Q28" s="80"/>
      <c r="R28" s="15"/>
      <c r="S28" s="15"/>
      <c r="T28" s="15"/>
      <c r="U28" s="15"/>
      <c r="V28" s="15"/>
      <c r="W28" s="15"/>
      <c r="X28" s="15"/>
      <c r="Y28" s="15"/>
      <c r="Z28" s="15"/>
      <c r="AA28" s="15"/>
      <c r="AB28" s="15"/>
    </row>
    <row r="29" spans="2:28" ht="20.100000000000001" customHeight="1">
      <c r="B29" s="16"/>
      <c r="C29" s="1" t="s">
        <v>23</v>
      </c>
      <c r="D29" s="1"/>
      <c r="E29" s="175"/>
      <c r="F29" s="175"/>
      <c r="G29" s="175"/>
      <c r="H29" s="176"/>
      <c r="I29" s="77"/>
      <c r="J29" s="77"/>
      <c r="K29" s="77"/>
      <c r="L29" s="77"/>
      <c r="M29" s="77"/>
      <c r="N29" s="77"/>
      <c r="O29" s="77"/>
      <c r="P29" s="77"/>
      <c r="Q29" s="80"/>
      <c r="R29" s="15"/>
      <c r="S29" s="15"/>
      <c r="T29" s="15"/>
      <c r="U29" s="15"/>
      <c r="V29" s="15"/>
      <c r="W29" s="15"/>
      <c r="X29" s="15"/>
      <c r="Y29" s="15"/>
      <c r="Z29" s="15"/>
      <c r="AA29" s="15"/>
      <c r="AB29" s="15"/>
    </row>
    <row r="30" spans="2:28" ht="15.6">
      <c r="B30" s="48"/>
      <c r="C30" s="49"/>
      <c r="D30" s="49"/>
      <c r="E30" s="50"/>
      <c r="F30" s="50"/>
      <c r="G30" s="50"/>
      <c r="H30" s="71"/>
      <c r="I30" s="122" t="s">
        <v>24</v>
      </c>
      <c r="J30" s="123"/>
      <c r="K30" s="51"/>
      <c r="Q30" s="18"/>
      <c r="R30" s="15"/>
      <c r="S30" s="15"/>
      <c r="T30" s="15"/>
      <c r="U30" s="15"/>
      <c r="V30" s="15"/>
      <c r="W30" s="15"/>
      <c r="X30" s="15"/>
      <c r="Y30" s="15"/>
      <c r="Z30" s="15"/>
      <c r="AA30" s="15"/>
      <c r="AB30" s="15"/>
    </row>
    <row r="31" spans="2:28" ht="34.5" customHeight="1" thickBot="1">
      <c r="B31" s="52" t="s">
        <v>10</v>
      </c>
      <c r="C31" s="40" t="s">
        <v>11</v>
      </c>
      <c r="D31" s="86"/>
      <c r="E31" s="34" t="s">
        <v>12</v>
      </c>
      <c r="F31" s="35" t="s">
        <v>13</v>
      </c>
      <c r="G31" s="34" t="s">
        <v>14</v>
      </c>
      <c r="H31" s="72" t="s">
        <v>15</v>
      </c>
      <c r="I31" s="58" t="s">
        <v>25</v>
      </c>
      <c r="J31" s="41" t="s">
        <v>26</v>
      </c>
      <c r="K31" s="41" t="s">
        <v>27</v>
      </c>
      <c r="L31" s="53"/>
      <c r="Q31" s="18"/>
      <c r="R31" s="15"/>
      <c r="S31" s="15"/>
      <c r="T31" s="15"/>
      <c r="U31" s="15"/>
      <c r="V31" s="15"/>
      <c r="W31" s="15"/>
      <c r="X31" s="15"/>
      <c r="Y31" s="15"/>
      <c r="Z31" s="15"/>
      <c r="AA31" s="15"/>
      <c r="AB31" s="15"/>
    </row>
    <row r="32" spans="2:28" ht="33.75" customHeight="1">
      <c r="B32" s="39">
        <v>112085</v>
      </c>
      <c r="C32" s="38" t="s">
        <v>28</v>
      </c>
      <c r="D32" s="87"/>
      <c r="E32" s="22"/>
      <c r="F32" s="27"/>
      <c r="G32" s="23"/>
      <c r="H32" s="73"/>
      <c r="I32" s="59"/>
      <c r="J32" s="24"/>
      <c r="K32" s="25"/>
      <c r="L32" s="53"/>
      <c r="N32" s="97" t="s">
        <v>29</v>
      </c>
      <c r="O32" s="98"/>
      <c r="P32" s="99"/>
      <c r="Q32" s="18"/>
      <c r="R32" s="15"/>
      <c r="S32" s="15"/>
      <c r="T32" s="15"/>
      <c r="U32" s="15"/>
      <c r="V32" s="15"/>
      <c r="W32" s="15"/>
      <c r="X32" s="15"/>
      <c r="Y32" s="15"/>
      <c r="Z32" s="15"/>
      <c r="AA32" s="15"/>
      <c r="AB32" s="15"/>
    </row>
    <row r="33" spans="2:28" ht="21" customHeight="1">
      <c r="B33" s="39"/>
      <c r="C33" s="38"/>
      <c r="D33" s="38"/>
      <c r="E33" s="11"/>
      <c r="F33" s="28"/>
      <c r="G33" s="12"/>
      <c r="H33" s="74"/>
      <c r="I33" s="60"/>
      <c r="J33" s="4"/>
      <c r="K33" s="26"/>
      <c r="L33" s="53"/>
      <c r="N33" s="119" t="s">
        <v>329</v>
      </c>
      <c r="O33" s="120"/>
      <c r="P33" s="121"/>
      <c r="Q33" s="18"/>
      <c r="R33" s="15"/>
      <c r="S33" s="15"/>
      <c r="T33" s="15"/>
      <c r="U33" s="15"/>
      <c r="V33" s="15"/>
      <c r="W33" s="15"/>
      <c r="X33" s="15"/>
      <c r="Y33" s="15"/>
      <c r="Z33" s="15"/>
      <c r="AA33" s="15"/>
      <c r="AB33" s="15"/>
    </row>
    <row r="34" spans="2:28" ht="21" customHeight="1">
      <c r="B34" s="39"/>
      <c r="C34" s="38"/>
      <c r="D34" s="38"/>
      <c r="E34" s="11"/>
      <c r="F34" s="28"/>
      <c r="G34" s="12"/>
      <c r="H34" s="74"/>
      <c r="I34" s="60"/>
      <c r="J34" s="4"/>
      <c r="K34" s="26"/>
      <c r="L34" s="53"/>
      <c r="N34" s="115" t="s">
        <v>330</v>
      </c>
      <c r="O34" s="116"/>
      <c r="P34" s="117"/>
      <c r="Q34" s="18"/>
      <c r="R34" s="15"/>
      <c r="S34" s="15"/>
      <c r="T34" s="15"/>
      <c r="U34" s="15"/>
      <c r="V34" s="15"/>
      <c r="W34" s="15"/>
      <c r="X34" s="15"/>
      <c r="Y34" s="15"/>
      <c r="Z34" s="15"/>
      <c r="AA34" s="15"/>
      <c r="AB34" s="15"/>
    </row>
    <row r="35" spans="2:28" ht="21" customHeight="1">
      <c r="B35" s="39"/>
      <c r="C35" s="38"/>
      <c r="D35" s="38"/>
      <c r="E35" s="11"/>
      <c r="F35" s="28"/>
      <c r="G35" s="12"/>
      <c r="H35" s="74"/>
      <c r="I35" s="60"/>
      <c r="J35" s="4"/>
      <c r="K35" s="26"/>
      <c r="L35" s="53"/>
      <c r="N35" s="118"/>
      <c r="O35" s="116"/>
      <c r="P35" s="117"/>
      <c r="Q35" s="18"/>
      <c r="R35" s="15"/>
      <c r="S35" s="15"/>
      <c r="T35" s="15"/>
      <c r="U35" s="15"/>
      <c r="V35" s="15"/>
      <c r="W35" s="15"/>
      <c r="X35" s="15"/>
      <c r="Y35" s="15"/>
      <c r="Z35" s="15"/>
      <c r="AA35" s="15"/>
      <c r="AB35" s="15"/>
    </row>
    <row r="36" spans="2:28" ht="21" customHeight="1" thickBot="1">
      <c r="B36" s="39"/>
      <c r="C36" s="38"/>
      <c r="D36" s="38"/>
      <c r="E36" s="11"/>
      <c r="F36" s="28"/>
      <c r="G36" s="12"/>
      <c r="H36" s="74"/>
      <c r="I36" s="60"/>
      <c r="J36" s="4"/>
      <c r="K36" s="26"/>
      <c r="L36" s="53"/>
      <c r="N36" s="92" t="s">
        <v>30</v>
      </c>
      <c r="O36" s="93" t="s">
        <v>31</v>
      </c>
      <c r="P36" s="94"/>
      <c r="Q36" s="18"/>
      <c r="R36" s="15"/>
      <c r="S36" s="15"/>
      <c r="T36" s="15"/>
      <c r="U36" s="15"/>
      <c r="V36" s="15"/>
      <c r="W36" s="15"/>
      <c r="X36" s="15"/>
      <c r="Y36" s="15"/>
      <c r="Z36" s="15"/>
      <c r="AA36" s="15"/>
      <c r="AB36" s="15"/>
    </row>
    <row r="37" spans="2:28" ht="21" customHeight="1">
      <c r="B37" s="39"/>
      <c r="C37" s="38"/>
      <c r="D37" s="38"/>
      <c r="E37" s="11"/>
      <c r="F37" s="28"/>
      <c r="G37" s="12"/>
      <c r="H37" s="74"/>
      <c r="I37" s="60"/>
      <c r="J37" s="4"/>
      <c r="K37" s="26"/>
      <c r="L37" s="53"/>
      <c r="N37" s="112" cm="1">
        <f t="array" ref="N37">IFERROR(INDEX('Product List'!$A$2:$A$1002,MATCH(0,IF(1='Product List'!$C$2:$C$1002,COUNTIF('Change Request Form'!$N$36:$N36,'Product List'!$A$2:$A$1002),""),0)),"")</f>
        <v>15263011</v>
      </c>
      <c r="O37" s="95" t="str">
        <f>IFERROR(IF(VLOOKUP(N37,'Product List'!A:D,4,FALSE)=1,VLOOKUP(N37,'Product List'!A:B,2,FALSE)&amp;"***",VLOOKUP(N37,'Product List'!A:B,2,FALSE)),"")</f>
        <v>BAG B</v>
      </c>
      <c r="P37" s="96"/>
      <c r="Q37" s="18"/>
      <c r="R37" s="15"/>
      <c r="S37" s="15"/>
      <c r="T37" s="15"/>
      <c r="U37" s="15"/>
      <c r="V37" s="15"/>
      <c r="W37" s="15"/>
      <c r="X37" s="15"/>
      <c r="Y37" s="15"/>
      <c r="Z37" s="15"/>
      <c r="AA37" s="15"/>
      <c r="AB37" s="15"/>
    </row>
    <row r="38" spans="2:28" ht="24.75" customHeight="1">
      <c r="B38" s="39"/>
      <c r="C38" s="38"/>
      <c r="D38" s="38"/>
      <c r="E38" s="11"/>
      <c r="F38" s="28"/>
      <c r="G38" s="12"/>
      <c r="H38" s="74"/>
      <c r="I38" s="60"/>
      <c r="J38" s="4"/>
      <c r="K38" s="26"/>
      <c r="L38" s="53"/>
      <c r="N38" s="113" cm="1">
        <f t="array" ref="N38">IFERROR(INDEX('Product List'!$A$2:$A$1002,MATCH(0,IF(1='Product List'!$C$2:$C$1002,COUNTIF('Change Request Form'!$N$36:$N37,'Product List'!$A$2:$A$1002),""),0)),"")</f>
        <v>15263000</v>
      </c>
      <c r="O38" s="2" t="str">
        <f>IFERROR(IF(VLOOKUP(N38,'Product List'!A:D,4,FALSE)=1,VLOOKUP(N38,'Product List'!A:B,2,FALSE)&amp;"***",VLOOKUP(N38,'Product List'!A:B,2,FALSE)),"")</f>
        <v>BAG B</v>
      </c>
      <c r="P38" s="17"/>
      <c r="Q38" s="18"/>
      <c r="R38" s="15"/>
      <c r="S38" s="15"/>
      <c r="T38" s="15"/>
      <c r="U38" s="15"/>
      <c r="V38" s="15"/>
      <c r="W38" s="15"/>
      <c r="X38" s="15"/>
      <c r="Y38" s="15"/>
      <c r="Z38" s="15"/>
      <c r="AA38" s="15"/>
      <c r="AB38" s="15"/>
    </row>
    <row r="39" spans="2:28" ht="21" customHeight="1">
      <c r="B39" s="39"/>
      <c r="C39" s="38"/>
      <c r="D39" s="38"/>
      <c r="E39" s="11"/>
      <c r="F39" s="28"/>
      <c r="G39" s="12"/>
      <c r="H39" s="74"/>
      <c r="I39" s="60"/>
      <c r="J39" s="4"/>
      <c r="K39" s="26"/>
      <c r="L39" s="53"/>
      <c r="N39" s="113" cm="1">
        <f t="array" ref="N39">IFERROR(INDEX('Product List'!$A$2:$A$1002,MATCH(0,IF(1='Product List'!$C$2:$C$1002,COUNTIF('Change Request Form'!$N$36:$N38,'Product List'!$A$2:$A$1002),""),0)),"")</f>
        <v>141571</v>
      </c>
      <c r="O39" s="2" t="str">
        <f>IFERROR(IF(VLOOKUP(N39,'Product List'!A:D,4,FALSE)=1,VLOOKUP(N39,'Product List'!A:B,2,FALSE)&amp;"***",VLOOKUP(N39,'Product List'!A:B,2,FALSE)),"")</f>
        <v>BAG BREAKFAST NO 16</v>
      </c>
      <c r="P39" s="17"/>
      <c r="Q39" s="18"/>
      <c r="R39" s="15"/>
      <c r="S39" s="15"/>
      <c r="T39" s="15"/>
      <c r="U39" s="15"/>
      <c r="V39" s="15"/>
      <c r="W39" s="15"/>
      <c r="X39" s="15"/>
      <c r="Y39" s="15"/>
      <c r="Z39" s="15"/>
      <c r="AA39" s="15"/>
      <c r="AB39" s="15"/>
    </row>
    <row r="40" spans="2:28" ht="21" customHeight="1">
      <c r="B40" s="39"/>
      <c r="C40" s="38"/>
      <c r="D40" s="38"/>
      <c r="E40" s="11"/>
      <c r="F40" s="28"/>
      <c r="G40" s="12"/>
      <c r="H40" s="74"/>
      <c r="I40" s="60"/>
      <c r="J40" s="4"/>
      <c r="K40" s="26"/>
      <c r="L40" s="53"/>
      <c r="N40" s="113" cm="1">
        <f t="array" ref="N40">IFERROR(INDEX('Product List'!$A$2:$A$1002,MATCH(0,IF(1='Product List'!$C$2:$C$1002,COUNTIF('Change Request Form'!$N$36:$N39,'Product List'!$A$2:$A$1002),""),0)),"")</f>
        <v>141368</v>
      </c>
      <c r="O40" s="2" t="str">
        <f>IFERROR(IF(VLOOKUP(N40,'Product List'!A:D,4,FALSE)=1,VLOOKUP(N40,'Product List'!A:B,2,FALSE)&amp;"***",VLOOKUP(N40,'Product List'!A:B,2,FALSE)),"")</f>
        <v>BAG BREAKFAST NO 16</v>
      </c>
      <c r="P40" s="17"/>
      <c r="Q40" s="18"/>
      <c r="R40" s="15"/>
      <c r="S40" s="15"/>
      <c r="T40" s="15"/>
      <c r="U40" s="15"/>
      <c r="V40" s="15"/>
      <c r="W40" s="15"/>
      <c r="X40" s="15"/>
      <c r="Y40" s="15"/>
      <c r="Z40" s="15"/>
      <c r="AA40" s="15"/>
      <c r="AB40" s="15"/>
    </row>
    <row r="41" spans="2:28" ht="21" customHeight="1">
      <c r="B41" s="39"/>
      <c r="C41" s="38"/>
      <c r="D41" s="38"/>
      <c r="E41" s="11"/>
      <c r="F41" s="28"/>
      <c r="G41" s="12"/>
      <c r="H41" s="74"/>
      <c r="I41" s="60"/>
      <c r="J41" s="4"/>
      <c r="K41" s="26"/>
      <c r="L41" s="53"/>
      <c r="N41" s="113" cm="1">
        <f t="array" ref="N41">IFERROR(INDEX('Product List'!$A$2:$A$1002,MATCH(0,IF(1='Product List'!$C$2:$C$1002,COUNTIF('Change Request Form'!$N$36:$N40,'Product List'!$A$2:$A$1002),""),0)),"")</f>
        <v>127941</v>
      </c>
      <c r="O41" s="2" t="str">
        <f>IFERROR(IF(VLOOKUP(N41,'Product List'!A:D,4,FALSE)=1,VLOOKUP(N41,'Product List'!A:B,2,FALSE)&amp;"***",VLOOKUP(N41,'Product List'!A:B,2,FALSE)),"")</f>
        <v>BAG FRIES SMALL***</v>
      </c>
      <c r="P41" s="17"/>
      <c r="Q41" s="17"/>
    </row>
    <row r="42" spans="2:28" ht="21" customHeight="1">
      <c r="B42" s="39"/>
      <c r="C42" s="38"/>
      <c r="D42" s="38"/>
      <c r="E42" s="11"/>
      <c r="F42" s="28"/>
      <c r="G42" s="12"/>
      <c r="H42" s="74"/>
      <c r="I42" s="60"/>
      <c r="J42" s="4"/>
      <c r="K42" s="26"/>
      <c r="L42" s="53"/>
      <c r="N42" s="113" cm="1">
        <f t="array" ref="N42">IFERROR(INDEX('Product List'!$A$2:$A$1002,MATCH(0,IF(1='Product List'!$C$2:$C$1002,COUNTIF('Change Request Form'!$N$36:$N41,'Product List'!$A$2:$A$1002),""),0)),"")</f>
        <v>5429611</v>
      </c>
      <c r="O42" s="2" t="str">
        <f>IFERROR(IF(VLOOKUP(N42,'Product List'!A:D,4,FALSE)=1,VLOOKUP(N42,'Product List'!A:B,2,FALSE)&amp;"***",VLOOKUP(N42,'Product List'!A:B,2,FALSE)),"")</f>
        <v>BAG GENERIC SNACK***</v>
      </c>
      <c r="P42" s="17"/>
      <c r="Q42" s="17"/>
    </row>
    <row r="43" spans="2:28" ht="21" customHeight="1">
      <c r="B43" s="39"/>
      <c r="C43" s="38"/>
      <c r="D43" s="88"/>
      <c r="E43" s="29"/>
      <c r="F43" s="30"/>
      <c r="G43" s="31"/>
      <c r="H43" s="75"/>
      <c r="I43" s="61"/>
      <c r="J43" s="32"/>
      <c r="K43" s="33"/>
      <c r="L43" s="53"/>
      <c r="N43" s="113" cm="1">
        <f t="array" ref="N43">IFERROR(INDEX('Product List'!$A$2:$A$1002,MATCH(0,IF(1='Product List'!$C$2:$C$1002,COUNTIF('Change Request Form'!$N$36:$N42,'Product List'!$A$2:$A$1002),""),0)),"")</f>
        <v>5429684</v>
      </c>
      <c r="O43" s="2" t="str">
        <f>IFERROR(IF(VLOOKUP(N43,'Product List'!A:D,4,FALSE)=1,VLOOKUP(N43,'Product List'!A:B,2,FALSE)&amp;"***",VLOOKUP(N43,'Product List'!A:B,2,FALSE)),"")</f>
        <v>BAG HASH BROWN***</v>
      </c>
      <c r="P43" s="17"/>
      <c r="Q43" s="17"/>
    </row>
    <row r="44" spans="2:28" ht="21" customHeight="1">
      <c r="B44" s="39"/>
      <c r="C44" s="38"/>
      <c r="D44" s="38"/>
      <c r="E44" s="11"/>
      <c r="F44" s="28"/>
      <c r="G44" s="12"/>
      <c r="H44" s="74"/>
      <c r="I44" s="60"/>
      <c r="J44" s="4"/>
      <c r="K44" s="26"/>
      <c r="L44" s="53"/>
      <c r="N44" s="113" cm="1">
        <f t="array" ref="N44">IFERROR(INDEX('Product List'!$A$2:$A$1002,MATCH(0,IF(1='Product List'!$C$2:$C$1002,COUNTIF('Change Request Form'!$N$36:$N43,'Product List'!$A$2:$A$1002),""),0)),"")</f>
        <v>5429612</v>
      </c>
      <c r="O44" s="2" t="str">
        <f>IFERROR(IF(VLOOKUP(N44,'Product List'!A:D,4,FALSE)=1,VLOOKUP(N44,'Product List'!A:B,2,FALSE)&amp;"***",VLOOKUP(N44,'Product List'!A:B,2,FALSE)),"")</f>
        <v>BAG HASH BROWN***</v>
      </c>
      <c r="P44" s="17"/>
      <c r="Q44" s="17"/>
    </row>
    <row r="45" spans="2:28" ht="21" customHeight="1">
      <c r="B45" s="39"/>
      <c r="C45" s="38"/>
      <c r="D45" s="38"/>
      <c r="E45" s="11"/>
      <c r="F45" s="28"/>
      <c r="G45" s="12"/>
      <c r="H45" s="74"/>
      <c r="I45" s="60"/>
      <c r="J45" s="4"/>
      <c r="K45" s="26"/>
      <c r="L45" s="53"/>
      <c r="N45" s="113" cm="1">
        <f t="array" ref="N45">IFERROR(INDEX('Product List'!$A$2:$A$1002,MATCH(0,IF(1='Product List'!$C$2:$C$1002,COUNTIF('Change Request Form'!$N$36:$N44,'Product List'!$A$2:$A$1002),""),0)),"")</f>
        <v>3723350</v>
      </c>
      <c r="O45" s="2" t="str">
        <f>IFERROR(IF(VLOOKUP(N45,'Product List'!A:D,4,FALSE)=1,VLOOKUP(N45,'Product List'!A:B,2,FALSE)&amp;"***",VLOOKUP(N45,'Product List'!A:B,2,FALSE)),"")</f>
        <v>BAG McNUGGET 3 PCE***</v>
      </c>
      <c r="P45" s="17"/>
      <c r="Q45" s="17"/>
    </row>
    <row r="46" spans="2:28" ht="21" customHeight="1">
      <c r="B46" s="39"/>
      <c r="C46" s="38"/>
      <c r="D46" s="88"/>
      <c r="E46" s="29"/>
      <c r="F46" s="30"/>
      <c r="G46" s="31"/>
      <c r="H46" s="75"/>
      <c r="I46" s="61"/>
      <c r="J46" s="32"/>
      <c r="K46" s="33"/>
      <c r="L46" s="53"/>
      <c r="N46" s="113" cm="1">
        <f t="array" ref="N46">IFERROR(INDEX('Product List'!$A$2:$A$1002,MATCH(0,IF(1='Product List'!$C$2:$C$1002,COUNTIF('Change Request Form'!$N$36:$N45,'Product List'!$A$2:$A$1002),""),0)),"")</f>
        <v>141572</v>
      </c>
      <c r="O46" s="2" t="str">
        <f>IFERROR(IF(VLOOKUP(N46,'Product List'!A:D,4,FALSE)=1,VLOOKUP(N46,'Product List'!A:B,2,FALSE)&amp;"***",VLOOKUP(N46,'Product List'!A:B,2,FALSE)),"")</f>
        <v xml:space="preserve">BAG MDS D BAG </v>
      </c>
      <c r="P46" s="17"/>
      <c r="Q46" s="17"/>
    </row>
    <row r="47" spans="2:28" ht="21" customHeight="1">
      <c r="B47" s="39"/>
      <c r="C47" s="38"/>
      <c r="D47" s="38"/>
      <c r="E47" s="11"/>
      <c r="F47" s="28"/>
      <c r="G47" s="12"/>
      <c r="H47" s="74"/>
      <c r="I47" s="60"/>
      <c r="J47" s="4"/>
      <c r="K47" s="26"/>
      <c r="L47" s="53"/>
      <c r="N47" s="113" cm="1">
        <f t="array" ref="N47">IFERROR(INDEX('Product List'!$A$2:$A$1002,MATCH(0,IF(1='Product List'!$C$2:$C$1002,COUNTIF('Change Request Form'!$N$36:$N46,'Product List'!$A$2:$A$1002),""),0)),"")</f>
        <v>141542</v>
      </c>
      <c r="O47" s="2" t="str">
        <f>IFERROR(IF(VLOOKUP(N47,'Product List'!A:D,4,FALSE)=1,VLOOKUP(N47,'Product List'!A:B,2,FALSE)&amp;"***",VLOOKUP(N47,'Product List'!A:B,2,FALSE)),"")</f>
        <v xml:space="preserve">BAG MDS D BAG </v>
      </c>
      <c r="P47" s="17"/>
      <c r="Q47" s="17"/>
    </row>
    <row r="48" spans="2:28" ht="21" customHeight="1">
      <c r="B48" s="39"/>
      <c r="C48" s="38"/>
      <c r="D48" s="38"/>
      <c r="E48" s="11"/>
      <c r="F48" s="28"/>
      <c r="G48" s="12"/>
      <c r="H48" s="74"/>
      <c r="I48" s="60"/>
      <c r="J48" s="4"/>
      <c r="K48" s="26"/>
      <c r="L48" s="53"/>
      <c r="N48" s="113" cm="1">
        <f t="array" ref="N48">IFERROR(INDEX('Product List'!$A$2:$A$1002,MATCH(0,IF(1='Product List'!$C$2:$C$1002,COUNTIF('Change Request Form'!$N$36:$N47,'Product List'!$A$2:$A$1002),""),0)),"")</f>
        <v>141574</v>
      </c>
      <c r="O48" s="2" t="str">
        <f>IFERROR(IF(VLOOKUP(N48,'Product List'!A:D,4,FALSE)=1,VLOOKUP(N48,'Product List'!A:B,2,FALSE)&amp;"***",VLOOKUP(N48,'Product List'!A:B,2,FALSE)),"")</f>
        <v xml:space="preserve">BAG MDS D BAG </v>
      </c>
      <c r="P48" s="17"/>
      <c r="Q48" s="17"/>
    </row>
    <row r="49" spans="2:17" ht="21" customHeight="1">
      <c r="B49" s="39"/>
      <c r="C49" s="38"/>
      <c r="D49" s="38"/>
      <c r="E49" s="11"/>
      <c r="F49" s="28"/>
      <c r="G49" s="12"/>
      <c r="H49" s="74"/>
      <c r="I49" s="60"/>
      <c r="J49" s="4"/>
      <c r="K49" s="26"/>
      <c r="L49" s="53"/>
      <c r="N49" s="113" cm="1">
        <f t="array" ref="N49">IFERROR(INDEX('Product List'!$A$2:$A$1002,MATCH(0,IF(1='Product List'!$C$2:$C$1002,COUNTIF('Change Request Form'!$N$36:$N48,'Product List'!$A$2:$A$1002),""),0)),"")</f>
        <v>141538</v>
      </c>
      <c r="O49" s="2" t="str">
        <f>IFERROR(IF(VLOOKUP(N49,'Product List'!A:D,4,FALSE)=1,VLOOKUP(N49,'Product List'!A:B,2,FALSE)&amp;"***",VLOOKUP(N49,'Product List'!A:B,2,FALSE)),"")</f>
        <v xml:space="preserve">BAG MDS D BAG </v>
      </c>
      <c r="P49" s="17"/>
      <c r="Q49" s="17"/>
    </row>
    <row r="50" spans="2:17" ht="21" customHeight="1">
      <c r="B50" s="39"/>
      <c r="C50" s="38"/>
      <c r="D50" s="38"/>
      <c r="E50" s="11"/>
      <c r="F50" s="28"/>
      <c r="G50" s="12"/>
      <c r="H50" s="74"/>
      <c r="I50" s="60"/>
      <c r="J50" s="4"/>
      <c r="K50" s="26"/>
      <c r="L50" s="53"/>
      <c r="N50" s="113" cm="1">
        <f t="array" ref="N50">IFERROR(INDEX('Product List'!$A$2:$A$1002,MATCH(0,IF(1='Product List'!$C$2:$C$1002,COUNTIF('Change Request Form'!$N$36:$N49,'Product List'!$A$2:$A$1002),""),0)),"")</f>
        <v>14205004</v>
      </c>
      <c r="O50" s="2" t="str">
        <f>IFERROR(IF(VLOOKUP(N50,'Product List'!A:D,4,FALSE)=1,VLOOKUP(N50,'Product List'!A:B,2,FALSE)&amp;"***",VLOOKUP(N50,'Product List'!A:B,2,FALSE)),"")</f>
        <v>BAG NO 4</v>
      </c>
      <c r="P50" s="17"/>
      <c r="Q50" s="17"/>
    </row>
    <row r="51" spans="2:17" ht="21" customHeight="1">
      <c r="B51" s="39"/>
      <c r="C51" s="38"/>
      <c r="D51" s="38"/>
      <c r="E51" s="11"/>
      <c r="F51" s="28"/>
      <c r="G51" s="12"/>
      <c r="H51" s="74"/>
      <c r="I51" s="60"/>
      <c r="J51" s="4"/>
      <c r="K51" s="26"/>
      <c r="L51" s="53"/>
      <c r="N51" s="113" cm="1">
        <f t="array" ref="N51">IFERROR(INDEX('Product List'!$A$2:$A$1002,MATCH(0,IF(1='Product List'!$C$2:$C$1002,COUNTIF('Change Request Form'!$N$36:$N50,'Product List'!$A$2:$A$1002),""),0)),"")</f>
        <v>6145075</v>
      </c>
      <c r="O51" s="2" t="str">
        <f>IFERROR(IF(VLOOKUP(N51,'Product List'!A:D,4,FALSE)=1,VLOOKUP(N51,'Product List'!A:B,2,FALSE)&amp;"***",VLOOKUP(N51,'Product List'!A:B,2,FALSE)),"")</f>
        <v>BAG NO 4</v>
      </c>
      <c r="P51" s="17"/>
      <c r="Q51" s="17"/>
    </row>
    <row r="52" spans="2:17" ht="21" customHeight="1">
      <c r="B52" s="39"/>
      <c r="C52" s="38"/>
      <c r="D52" s="38"/>
      <c r="E52" s="11"/>
      <c r="F52" s="28"/>
      <c r="G52" s="12"/>
      <c r="H52" s="74"/>
      <c r="I52" s="60"/>
      <c r="J52" s="4"/>
      <c r="K52" s="26"/>
      <c r="L52" s="53"/>
      <c r="N52" s="113" cm="1">
        <f t="array" ref="N52">IFERROR(INDEX('Product List'!$A$2:$A$1002,MATCH(0,IF(1='Product List'!$C$2:$C$1002,COUNTIF('Change Request Form'!$N$36:$N51,'Product List'!$A$2:$A$1002),""),0)),"")</f>
        <v>6723080</v>
      </c>
      <c r="O52" s="2" t="str">
        <f>IFERROR(IF(VLOOKUP(N52,'Product List'!A:D,4,FALSE)=1,VLOOKUP(N52,'Product List'!A:B,2,FALSE)&amp;"***",VLOOKUP(N52,'Product List'!A:B,2,FALSE)),"")</f>
        <v>BAG ONION RINGS</v>
      </c>
      <c r="P52" s="17"/>
      <c r="Q52" s="17"/>
    </row>
    <row r="53" spans="2:17" ht="21" customHeight="1">
      <c r="B53" s="39"/>
      <c r="C53" s="38"/>
      <c r="D53" s="38"/>
      <c r="E53" s="11"/>
      <c r="F53" s="28"/>
      <c r="G53" s="12"/>
      <c r="H53" s="74"/>
      <c r="I53" s="60"/>
      <c r="J53" s="4"/>
      <c r="K53" s="26"/>
      <c r="L53" s="53"/>
      <c r="N53" s="113" cm="1">
        <f t="array" ref="N53">IFERROR(INDEX('Product List'!$A$2:$A$1002,MATCH(0,IF(1='Product List'!$C$2:$C$1002,COUNTIF('Change Request Form'!$N$36:$N52,'Product List'!$A$2:$A$1002),""),0)),"")</f>
        <v>6723100</v>
      </c>
      <c r="O53" s="2" t="str">
        <f>IFERROR(IF(VLOOKUP(N53,'Product List'!A:D,4,FALSE)=1,VLOOKUP(N53,'Product List'!A:B,2,FALSE)&amp;"***",VLOOKUP(N53,'Product List'!A:B,2,FALSE)),"")</f>
        <v>BAG ONION RINGS</v>
      </c>
      <c r="P53" s="17"/>
      <c r="Q53" s="17"/>
    </row>
    <row r="54" spans="2:17" ht="21" customHeight="1">
      <c r="B54" s="39"/>
      <c r="C54" s="38"/>
      <c r="D54" s="38"/>
      <c r="E54" s="11"/>
      <c r="F54" s="28"/>
      <c r="G54" s="12"/>
      <c r="H54" s="74"/>
      <c r="I54" s="60"/>
      <c r="J54" s="4"/>
      <c r="K54" s="26"/>
      <c r="L54" s="53"/>
      <c r="N54" s="113" cm="1">
        <f t="array" ref="N54">IFERROR(INDEX('Product List'!$A$2:$A$1002,MATCH(0,IF(1='Product List'!$C$2:$C$1002,COUNTIF('Change Request Form'!$N$36:$N53,'Product List'!$A$2:$A$1002),""),0)),"")</f>
        <v>12142001</v>
      </c>
      <c r="O54" s="2" t="str">
        <f>IFERROR(IF(VLOOKUP(N54,'Product List'!A:D,4,FALSE)=1,VLOOKUP(N54,'Product List'!A:B,2,FALSE)&amp;"***",VLOOKUP(N54,'Product List'!A:B,2,FALSE)),"")</f>
        <v>BAG PASTRY UNPRINTED B987P0330</v>
      </c>
      <c r="P54" s="17"/>
      <c r="Q54" s="17"/>
    </row>
    <row r="55" spans="2:17" ht="21" customHeight="1">
      <c r="B55" s="39"/>
      <c r="C55" s="38"/>
      <c r="D55" s="38"/>
      <c r="E55" s="11"/>
      <c r="F55" s="28"/>
      <c r="G55" s="12"/>
      <c r="H55" s="74"/>
      <c r="I55" s="60"/>
      <c r="J55" s="4"/>
      <c r="K55" s="26"/>
      <c r="L55" s="53"/>
      <c r="N55" s="113" cm="1">
        <f t="array" ref="N55">IFERROR(INDEX('Product List'!$A$2:$A$1002,MATCH(0,IF(1='Product List'!$C$2:$C$1002,COUNTIF('Change Request Form'!$N$36:$N54,'Product List'!$A$2:$A$1002),""),0)),"")</f>
        <v>6358100</v>
      </c>
      <c r="O55" s="2" t="str">
        <f>IFERROR(IF(VLOOKUP(N55,'Product List'!A:D,4,FALSE)=1,VLOOKUP(N55,'Product List'!A:B,2,FALSE)&amp;"***",VLOOKUP(N55,'Product List'!A:B,2,FALSE)),"")</f>
        <v>BAG PINEAPPLE FRITTER***</v>
      </c>
      <c r="P55" s="17"/>
      <c r="Q55" s="17"/>
    </row>
    <row r="56" spans="2:17" ht="21" customHeight="1">
      <c r="B56" s="39"/>
      <c r="C56" s="38"/>
      <c r="D56" s="38"/>
      <c r="E56" s="11"/>
      <c r="F56" s="28"/>
      <c r="G56" s="12"/>
      <c r="H56" s="74"/>
      <c r="I56" s="60"/>
      <c r="J56" s="4"/>
      <c r="K56" s="26"/>
      <c r="L56" s="53"/>
      <c r="N56" s="113" cm="1">
        <f t="array" ref="N56">IFERROR(INDEX('Product List'!$A$2:$A$1002,MATCH(0,IF(1='Product List'!$C$2:$C$1002,COUNTIF('Change Request Form'!$N$36:$N55,'Product List'!$A$2:$A$1002),""),0)),"")</f>
        <v>2937128</v>
      </c>
      <c r="O56" s="2" t="str">
        <f>IFERROR(IF(VLOOKUP(N56,'Product List'!A:D,4,FALSE)=1,VLOOKUP(N56,'Product List'!A:B,2,FALSE)&amp;"***",VLOOKUP(N56,'Product List'!A:B,2,FALSE)),"")</f>
        <v>CAF BAG PASTRY***</v>
      </c>
      <c r="P56" s="17"/>
      <c r="Q56" s="17"/>
    </row>
    <row r="57" spans="2:17" ht="21" customHeight="1">
      <c r="B57" s="39"/>
      <c r="C57" s="38"/>
      <c r="D57" s="38"/>
      <c r="E57" s="11"/>
      <c r="F57" s="28"/>
      <c r="G57" s="12"/>
      <c r="H57" s="74"/>
      <c r="I57" s="60"/>
      <c r="J57" s="4"/>
      <c r="K57" s="26"/>
      <c r="L57" s="53"/>
      <c r="N57" s="113" cm="1">
        <f t="array" ref="N57">IFERROR(INDEX('Product List'!$A$2:$A$1002,MATCH(0,IF(1='Product List'!$C$2:$C$1002,COUNTIF('Change Request Form'!$N$36:$N56,'Product List'!$A$2:$A$1002),""),0)),"")</f>
        <v>6755100</v>
      </c>
      <c r="O57" s="2" t="str">
        <f>IFERROR(IF(VLOOKUP(N57,'Product List'!A:D,4,FALSE)=1,VLOOKUP(N57,'Product List'!A:B,2,FALSE)&amp;"***",VLOOKUP(N57,'Product List'!A:B,2,FALSE)),"")</f>
        <v>CAF TEA BAGS EARL GREY***</v>
      </c>
      <c r="P57" s="17"/>
      <c r="Q57" s="17"/>
    </row>
    <row r="58" spans="2:17" ht="21" customHeight="1">
      <c r="B58" s="39"/>
      <c r="C58" s="38"/>
      <c r="D58" s="38"/>
      <c r="E58" s="11"/>
      <c r="F58" s="28"/>
      <c r="G58" s="12"/>
      <c r="H58" s="74"/>
      <c r="I58" s="60"/>
      <c r="J58" s="4"/>
      <c r="K58" s="26"/>
      <c r="L58" s="53"/>
      <c r="N58" s="113" cm="1">
        <f t="array" ref="N58">IFERROR(INDEX('Product List'!$A$2:$A$1002,MATCH(0,IF(1='Product List'!$C$2:$C$1002,COUNTIF('Change Request Form'!$N$36:$N57,'Product List'!$A$2:$A$1002),""),0)),"")</f>
        <v>2630100</v>
      </c>
      <c r="O58" s="2" t="str">
        <f>IFERROR(IF(VLOOKUP(N58,'Product List'!A:D,4,FALSE)=1,VLOOKUP(N58,'Product List'!A:B,2,FALSE)&amp;"***",VLOOKUP(N58,'Product List'!A:B,2,FALSE)),"")</f>
        <v>CAF TEA BAGS ENG BFAST***</v>
      </c>
      <c r="P58" s="17"/>
      <c r="Q58" s="17"/>
    </row>
    <row r="59" spans="2:17" ht="21" customHeight="1">
      <c r="B59" s="39"/>
      <c r="C59" s="38"/>
      <c r="D59" s="38"/>
      <c r="E59" s="11"/>
      <c r="F59" s="28"/>
      <c r="G59" s="12"/>
      <c r="H59" s="74"/>
      <c r="I59" s="60"/>
      <c r="J59" s="4"/>
      <c r="K59" s="26"/>
      <c r="L59" s="53"/>
      <c r="N59" s="113" cm="1">
        <f t="array" ref="N59">IFERROR(INDEX('Product List'!$A$2:$A$1002,MATCH(0,IF(1='Product List'!$C$2:$C$1002,COUNTIF('Change Request Form'!$N$36:$N58,'Product List'!$A$2:$A$1002),""),0)),"")</f>
        <v>57203</v>
      </c>
      <c r="O59" s="2" t="str">
        <f>IFERROR(IF(VLOOKUP(N59,'Product List'!A:D,4,FALSE)=1,VLOOKUP(N59,'Product List'!A:B,2,FALSE)&amp;"***",VLOOKUP(N59,'Product List'!A:B,2,FALSE)),"")</f>
        <v>CAF TEA BAGS GREEN***</v>
      </c>
      <c r="P59" s="17"/>
      <c r="Q59" s="17"/>
    </row>
    <row r="60" spans="2:17" ht="21" customHeight="1">
      <c r="B60" s="39"/>
      <c r="C60" s="38"/>
      <c r="D60" s="38"/>
      <c r="E60" s="11"/>
      <c r="F60" s="28"/>
      <c r="G60" s="12"/>
      <c r="H60" s="74"/>
      <c r="I60" s="60"/>
      <c r="J60" s="4"/>
      <c r="K60" s="26"/>
      <c r="L60" s="53"/>
      <c r="N60" s="113" cm="1">
        <f t="array" ref="N60">IFERROR(INDEX('Product List'!$A$2:$A$1002,MATCH(0,IF(1='Product List'!$C$2:$C$1002,COUNTIF('Change Request Form'!$N$36:$N59,'Product List'!$A$2:$A$1002),""),0)),"")</f>
        <v>5099102</v>
      </c>
      <c r="O60" s="2" t="str">
        <f>IFERROR(IF(VLOOKUP(N60,'Product List'!A:D,4,FALSE)=1,VLOOKUP(N60,'Product List'!A:B,2,FALSE)&amp;"***",VLOOKUP(N60,'Product List'!A:B,2,FALSE)),"")</f>
        <v>CAF TEA BAGS PEPPERMINT***</v>
      </c>
      <c r="P60" s="17"/>
      <c r="Q60" s="17"/>
    </row>
    <row r="61" spans="2:17" ht="21" customHeight="1">
      <c r="B61" s="39"/>
      <c r="C61" s="38"/>
      <c r="D61" s="38"/>
      <c r="E61" s="11"/>
      <c r="F61" s="28"/>
      <c r="G61" s="12"/>
      <c r="H61" s="74"/>
      <c r="I61" s="60"/>
      <c r="J61" s="4"/>
      <c r="K61" s="26"/>
      <c r="L61" s="53"/>
      <c r="N61" s="113" cm="1">
        <f t="array" ref="N61">IFERROR(INDEX('Product List'!$A$2:$A$1002,MATCH(0,IF(1='Product List'!$C$2:$C$1002,COUNTIF('Change Request Form'!$N$36:$N60,'Product List'!$A$2:$A$1002),""),0)),"")</f>
        <v>3270033</v>
      </c>
      <c r="O61" s="2" t="str">
        <f>IFERROR(IF(VLOOKUP(N61,'Product List'!A:D,4,FALSE)=1,VLOOKUP(N61,'Product List'!A:B,2,FALSE)&amp;"***",VLOOKUP(N61,'Product List'!A:B,2,FALSE)),"")</f>
        <v>MCDELIVERY BAG BATCHING</v>
      </c>
      <c r="P61" s="17"/>
      <c r="Q61" s="17"/>
    </row>
    <row r="62" spans="2:17" ht="21" customHeight="1">
      <c r="B62" s="39"/>
      <c r="C62" s="38"/>
      <c r="D62" s="38"/>
      <c r="E62" s="11"/>
      <c r="F62" s="28"/>
      <c r="G62" s="12"/>
      <c r="H62" s="74"/>
      <c r="I62" s="60"/>
      <c r="J62" s="4"/>
      <c r="K62" s="26"/>
      <c r="L62" s="53"/>
      <c r="N62" s="113" t="str" cm="1">
        <f t="array" ref="N62">IFERROR(INDEX('Product List'!$A$2:$A$1002,MATCH(0,IF(1='Product List'!$C$2:$C$1002,COUNTIF('Change Request Form'!$N$36:$N61,'Product List'!$A$2:$A$1002),""),0)),"")</f>
        <v/>
      </c>
      <c r="O62" s="2" t="str">
        <f>IFERROR(IF(VLOOKUP(N62,'Product List'!A:D,4,FALSE)=1,VLOOKUP(N62,'Product List'!A:B,2,FALSE)&amp;"***",VLOOKUP(N62,'Product List'!A:B,2,FALSE)),"")</f>
        <v/>
      </c>
      <c r="P62" s="17"/>
      <c r="Q62" s="17"/>
    </row>
    <row r="63" spans="2:17" ht="21" customHeight="1">
      <c r="B63" s="39"/>
      <c r="C63" s="38"/>
      <c r="D63" s="38"/>
      <c r="E63" s="11"/>
      <c r="F63" s="28"/>
      <c r="G63" s="12"/>
      <c r="H63" s="74"/>
      <c r="I63" s="60"/>
      <c r="J63" s="4"/>
      <c r="K63" s="26"/>
      <c r="L63" s="53"/>
      <c r="N63" s="113" t="str" cm="1">
        <f t="array" ref="N63">IFERROR(INDEX('Product List'!$A$2:$A$1002,MATCH(0,IF(1='Product List'!$C$2:$C$1002,COUNTIF('Change Request Form'!$N$36:$N62,'Product List'!$A$2:$A$1002),""),0)),"")</f>
        <v/>
      </c>
      <c r="O63" s="2" t="str">
        <f>IFERROR(IF(VLOOKUP(N63,'Product List'!A:D,4,FALSE)=1,VLOOKUP(N63,'Product List'!A:B,2,FALSE)&amp;"***",VLOOKUP(N63,'Product List'!A:B,2,FALSE)),"")</f>
        <v/>
      </c>
      <c r="P63" s="17"/>
      <c r="Q63" s="17"/>
    </row>
    <row r="64" spans="2:17" ht="21" customHeight="1">
      <c r="B64" s="39"/>
      <c r="C64" s="38"/>
      <c r="D64" s="38"/>
      <c r="E64" s="11"/>
      <c r="F64" s="28"/>
      <c r="G64" s="12"/>
      <c r="H64" s="74"/>
      <c r="I64" s="60"/>
      <c r="J64" s="4"/>
      <c r="K64" s="26"/>
      <c r="L64" s="53"/>
      <c r="N64" s="113" t="str" cm="1">
        <f t="array" ref="N64">IFERROR(INDEX('Product List'!$A$2:$A$1002,MATCH(0,IF(1='Product List'!$C$2:$C$1002,COUNTIF('Change Request Form'!$N$36:$N63,'Product List'!$A$2:$A$1002),""),0)),"")</f>
        <v/>
      </c>
      <c r="O64" s="2" t="str">
        <f>IFERROR(IF(VLOOKUP(N64,'Product List'!A:D,4,FALSE)=1,VLOOKUP(N64,'Product List'!A:B,2,FALSE)&amp;"***",VLOOKUP(N64,'Product List'!A:B,2,FALSE)),"")</f>
        <v/>
      </c>
      <c r="P64" s="17"/>
      <c r="Q64" s="17"/>
    </row>
    <row r="65" spans="2:17" ht="21" customHeight="1">
      <c r="B65" s="39"/>
      <c r="C65" s="38"/>
      <c r="D65" s="38"/>
      <c r="E65" s="11"/>
      <c r="F65" s="28"/>
      <c r="G65" s="12"/>
      <c r="H65" s="74"/>
      <c r="I65" s="60"/>
      <c r="J65" s="4"/>
      <c r="K65" s="26"/>
      <c r="L65" s="53"/>
      <c r="N65" s="113" t="str" cm="1">
        <f t="array" ref="N65">IFERROR(INDEX('Product List'!$A$2:$A$1002,MATCH(0,IF(1='Product List'!$C$2:$C$1002,COUNTIF('Change Request Form'!$N$36:$N64,'Product List'!$A$2:$A$1002),""),0)),"")</f>
        <v/>
      </c>
      <c r="O65" s="2" t="str">
        <f>IFERROR(IF(VLOOKUP(N65,'Product List'!A:D,4,FALSE)=1,VLOOKUP(N65,'Product List'!A:B,2,FALSE)&amp;"***",VLOOKUP(N65,'Product List'!A:B,2,FALSE)),"")</f>
        <v/>
      </c>
      <c r="P65" s="17"/>
      <c r="Q65" s="17"/>
    </row>
    <row r="66" spans="2:17" ht="21" customHeight="1">
      <c r="B66" s="39"/>
      <c r="C66" s="38"/>
      <c r="D66" s="38"/>
      <c r="E66" s="11"/>
      <c r="F66" s="28"/>
      <c r="G66" s="12"/>
      <c r="H66" s="74"/>
      <c r="I66" s="60"/>
      <c r="J66" s="4"/>
      <c r="K66" s="26"/>
      <c r="L66" s="53"/>
      <c r="N66" s="113" t="str" cm="1">
        <f t="array" ref="N66">IFERROR(INDEX('Product List'!$A$2:$A$1002,MATCH(0,IF(1='Product List'!$C$2:$C$1002,COUNTIF('Change Request Form'!$N$36:$N65,'Product List'!$A$2:$A$1002),""),0)),"")</f>
        <v/>
      </c>
      <c r="O66" s="2" t="str">
        <f>IFERROR(IF(VLOOKUP(N66,'Product List'!A:D,4,FALSE)=1,VLOOKUP(N66,'Product List'!A:B,2,FALSE)&amp;"***",VLOOKUP(N66,'Product List'!A:B,2,FALSE)),"")</f>
        <v/>
      </c>
      <c r="P66" s="17"/>
      <c r="Q66" s="17"/>
    </row>
    <row r="67" spans="2:17" ht="21" customHeight="1">
      <c r="B67" s="39"/>
      <c r="C67" s="38"/>
      <c r="D67" s="38"/>
      <c r="E67" s="11"/>
      <c r="F67" s="28"/>
      <c r="G67" s="12"/>
      <c r="H67" s="74"/>
      <c r="I67" s="60"/>
      <c r="J67" s="4"/>
      <c r="K67" s="26"/>
      <c r="L67" s="53"/>
      <c r="N67" s="113" t="str" cm="1">
        <f t="array" ref="N67">IFERROR(INDEX('Product List'!$A$2:$A$1002,MATCH(0,IF(1='Product List'!$C$2:$C$1002,COUNTIF('Change Request Form'!$N$36:$N66,'Product List'!$A$2:$A$1002),""),0)),"")</f>
        <v/>
      </c>
      <c r="O67" s="2" t="str">
        <f>IFERROR(IF(VLOOKUP(N67,'Product List'!A:D,4,FALSE)=1,VLOOKUP(N67,'Product List'!A:B,2,FALSE)&amp;"***",VLOOKUP(N67,'Product List'!A:B,2,FALSE)),"")</f>
        <v/>
      </c>
      <c r="P67" s="17"/>
      <c r="Q67" s="17"/>
    </row>
    <row r="68" spans="2:17" ht="21" customHeight="1">
      <c r="B68" s="39"/>
      <c r="C68" s="38"/>
      <c r="D68" s="38"/>
      <c r="E68" s="11"/>
      <c r="F68" s="28"/>
      <c r="G68" s="12"/>
      <c r="H68" s="74"/>
      <c r="I68" s="60"/>
      <c r="J68" s="4"/>
      <c r="K68" s="26"/>
      <c r="L68" s="53"/>
      <c r="N68" s="113" t="str" cm="1">
        <f t="array" ref="N68">IFERROR(INDEX('Product List'!$A$2:$A$1002,MATCH(0,IF(1='Product List'!$C$2:$C$1002,COUNTIF('Change Request Form'!$N$36:$N67,'Product List'!$A$2:$A$1002),""),0)),"")</f>
        <v/>
      </c>
      <c r="O68" s="2" t="str">
        <f>IFERROR(IF(VLOOKUP(N68,'Product List'!A:D,4,FALSE)=1,VLOOKUP(N68,'Product List'!A:B,2,FALSE)&amp;"***",VLOOKUP(N68,'Product List'!A:B,2,FALSE)),"")</f>
        <v/>
      </c>
      <c r="P68" s="17"/>
      <c r="Q68" s="17"/>
    </row>
    <row r="69" spans="2:17" ht="21" customHeight="1">
      <c r="B69" s="39"/>
      <c r="C69" s="38"/>
      <c r="D69" s="38"/>
      <c r="E69" s="11"/>
      <c r="F69" s="28"/>
      <c r="G69" s="12"/>
      <c r="H69" s="74"/>
      <c r="I69" s="60"/>
      <c r="J69" s="4"/>
      <c r="K69" s="26"/>
      <c r="L69" s="53"/>
      <c r="N69" s="113" t="str" cm="1">
        <f t="array" ref="N69">IFERROR(INDEX('Product List'!$A$2:$A$1002,MATCH(0,IF(1='Product List'!$C$2:$C$1002,COUNTIF('Change Request Form'!$N$36:$N68,'Product List'!$A$2:$A$1002),""),0)),"")</f>
        <v/>
      </c>
      <c r="O69" s="2" t="str">
        <f>IFERROR(IF(VLOOKUP(N69,'Product List'!A:D,4,FALSE)=1,VLOOKUP(N69,'Product List'!A:B,2,FALSE)&amp;"***",VLOOKUP(N69,'Product List'!A:B,2,FALSE)),"")</f>
        <v/>
      </c>
      <c r="P69" s="17"/>
      <c r="Q69" s="17"/>
    </row>
    <row r="70" spans="2:17" ht="21" customHeight="1">
      <c r="B70" s="39"/>
      <c r="C70" s="38"/>
      <c r="D70" s="38"/>
      <c r="E70" s="11"/>
      <c r="F70" s="28"/>
      <c r="G70" s="12"/>
      <c r="H70" s="74"/>
      <c r="I70" s="60"/>
      <c r="J70" s="4"/>
      <c r="K70" s="26"/>
      <c r="L70" s="53"/>
      <c r="N70" s="113" t="str" cm="1">
        <f t="array" ref="N70">IFERROR(INDEX('Product List'!$A$2:$A$1002,MATCH(0,IF(1='Product List'!$C$2:$C$1002,COUNTIF('Change Request Form'!$N$36:$N69,'Product List'!$A$2:$A$1002),""),0)),"")</f>
        <v/>
      </c>
      <c r="O70" s="2" t="str">
        <f>IFERROR(IF(VLOOKUP(N70,'Product List'!A:D,4,FALSE)=1,VLOOKUP(N70,'Product List'!A:B,2,FALSE)&amp;"***",VLOOKUP(N70,'Product List'!A:B,2,FALSE)),"")</f>
        <v/>
      </c>
      <c r="P70" s="17"/>
      <c r="Q70" s="17"/>
    </row>
    <row r="71" spans="2:17" ht="21" customHeight="1">
      <c r="B71" s="39"/>
      <c r="C71" s="38"/>
      <c r="D71" s="38"/>
      <c r="E71" s="11"/>
      <c r="F71" s="28"/>
      <c r="G71" s="12"/>
      <c r="H71" s="74"/>
      <c r="I71" s="60"/>
      <c r="J71" s="4"/>
      <c r="K71" s="26"/>
      <c r="L71" s="53"/>
      <c r="N71" s="113" t="str" cm="1">
        <f t="array" ref="N71">IFERROR(INDEX('Product List'!$A$2:$A$1002,MATCH(0,IF(1='Product List'!$C$2:$C$1002,COUNTIF('Change Request Form'!$N$36:$N70,'Product List'!$A$2:$A$1002),""),0)),"")</f>
        <v/>
      </c>
      <c r="O71" s="2" t="str">
        <f>IFERROR(IF(VLOOKUP(N71,'Product List'!A:D,4,FALSE)=1,VLOOKUP(N71,'Product List'!A:B,2,FALSE)&amp;"***",VLOOKUP(N71,'Product List'!A:B,2,FALSE)),"")</f>
        <v/>
      </c>
      <c r="P71" s="17"/>
      <c r="Q71" s="17"/>
    </row>
    <row r="72" spans="2:17" ht="21" customHeight="1">
      <c r="B72" s="39"/>
      <c r="C72" s="38"/>
      <c r="D72" s="38"/>
      <c r="E72" s="11"/>
      <c r="F72" s="28"/>
      <c r="G72" s="12"/>
      <c r="H72" s="74"/>
      <c r="I72" s="60"/>
      <c r="J72" s="4"/>
      <c r="K72" s="26"/>
      <c r="L72" s="53"/>
      <c r="N72" s="113" t="str" cm="1">
        <f t="array" ref="N72">IFERROR(INDEX('Product List'!$A$2:$A$1002,MATCH(0,IF(1='Product List'!$C$2:$C$1002,COUNTIF('Change Request Form'!$N$36:$N71,'Product List'!$A$2:$A$1002),""),0)),"")</f>
        <v/>
      </c>
      <c r="O72" s="2" t="str">
        <f>IFERROR(IF(VLOOKUP(N72,'Product List'!A:D,4,FALSE)=1,VLOOKUP(N72,'Product List'!A:B,2,FALSE)&amp;"***",VLOOKUP(N72,'Product List'!A:B,2,FALSE)),"")</f>
        <v/>
      </c>
      <c r="P72" s="17"/>
      <c r="Q72" s="17"/>
    </row>
    <row r="73" spans="2:17" ht="21" customHeight="1">
      <c r="B73" s="39"/>
      <c r="C73" s="38"/>
      <c r="D73" s="38"/>
      <c r="E73" s="11"/>
      <c r="F73" s="28"/>
      <c r="G73" s="12"/>
      <c r="H73" s="74"/>
      <c r="I73" s="60"/>
      <c r="J73" s="4"/>
      <c r="K73" s="26"/>
      <c r="L73" s="53"/>
      <c r="N73" s="113" t="str" cm="1">
        <f t="array" ref="N73">IFERROR(INDEX('Product List'!$A$2:$A$1002,MATCH(0,IF(1='Product List'!$C$2:$C$1002,COUNTIF('Change Request Form'!$N$36:$N72,'Product List'!$A$2:$A$1002),""),0)),"")</f>
        <v/>
      </c>
      <c r="O73" s="2" t="str">
        <f>IFERROR(IF(VLOOKUP(N73,'Product List'!A:D,4,FALSE)=1,VLOOKUP(N73,'Product List'!A:B,2,FALSE)&amp;"***",VLOOKUP(N73,'Product List'!A:B,2,FALSE)),"")</f>
        <v/>
      </c>
      <c r="P73" s="17"/>
      <c r="Q73" s="17"/>
    </row>
    <row r="74" spans="2:17" ht="21" customHeight="1">
      <c r="B74" s="39"/>
      <c r="C74" s="38"/>
      <c r="D74" s="38"/>
      <c r="E74" s="11"/>
      <c r="F74" s="28"/>
      <c r="G74" s="12"/>
      <c r="H74" s="74"/>
      <c r="I74" s="60"/>
      <c r="J74" s="4"/>
      <c r="K74" s="26"/>
      <c r="L74" s="53"/>
      <c r="N74" s="113" t="str" cm="1">
        <f t="array" ref="N74">IFERROR(INDEX('Product List'!$A$2:$A$1002,MATCH(0,IF(1='Product List'!$C$2:$C$1002,COUNTIF('Change Request Form'!$N$36:$N73,'Product List'!$A$2:$A$1002),""),0)),"")</f>
        <v/>
      </c>
      <c r="O74" s="2" t="str">
        <f>IFERROR(IF(VLOOKUP(N74,'Product List'!A:D,4,FALSE)=1,VLOOKUP(N74,'Product List'!A:B,2,FALSE)&amp;"***",VLOOKUP(N74,'Product List'!A:B,2,FALSE)),"")</f>
        <v/>
      </c>
      <c r="P74" s="17"/>
      <c r="Q74" s="17"/>
    </row>
    <row r="75" spans="2:17" ht="21" customHeight="1">
      <c r="B75" s="39"/>
      <c r="C75" s="38"/>
      <c r="D75" s="38"/>
      <c r="E75" s="11"/>
      <c r="F75" s="28"/>
      <c r="G75" s="12"/>
      <c r="H75" s="74"/>
      <c r="I75" s="60"/>
      <c r="J75" s="4"/>
      <c r="K75" s="26"/>
      <c r="L75" s="53"/>
      <c r="N75" s="113" t="str" cm="1">
        <f t="array" ref="N75">IFERROR(INDEX('Product List'!$A$2:$A$1002,MATCH(0,IF(1='Product List'!$C$2:$C$1002,COUNTIF('Change Request Form'!$N$36:$N74,'Product List'!$A$2:$A$1002),""),0)),"")</f>
        <v/>
      </c>
      <c r="O75" s="2" t="str">
        <f>IFERROR(IF(VLOOKUP(N75,'Product List'!A:D,4,FALSE)=1,VLOOKUP(N75,'Product List'!A:B,2,FALSE)&amp;"***",VLOOKUP(N75,'Product List'!A:B,2,FALSE)),"")</f>
        <v/>
      </c>
      <c r="P75" s="17"/>
      <c r="Q75" s="17"/>
    </row>
    <row r="76" spans="2:17" ht="21" customHeight="1">
      <c r="B76" s="39"/>
      <c r="C76" s="38"/>
      <c r="D76" s="38"/>
      <c r="E76" s="11"/>
      <c r="F76" s="28"/>
      <c r="G76" s="12"/>
      <c r="H76" s="74"/>
      <c r="I76" s="60"/>
      <c r="J76" s="4"/>
      <c r="K76" s="26"/>
      <c r="L76" s="53"/>
      <c r="N76" s="113" t="str" cm="1">
        <f t="array" ref="N76">IFERROR(INDEX('Product List'!$A$2:$A$1002,MATCH(0,IF(1='Product List'!$C$2:$C$1002,COUNTIF('Change Request Form'!$N$36:$N75,'Product List'!$A$2:$A$1002),""),0)),"")</f>
        <v/>
      </c>
      <c r="O76" s="2" t="str">
        <f>IFERROR(IF(VLOOKUP(N76,'Product List'!A:D,4,FALSE)=1,VLOOKUP(N76,'Product List'!A:B,2,FALSE)&amp;"***",VLOOKUP(N76,'Product List'!A:B,2,FALSE)),"")</f>
        <v/>
      </c>
      <c r="P76" s="17"/>
      <c r="Q76" s="17"/>
    </row>
    <row r="77" spans="2:17" ht="21" customHeight="1">
      <c r="B77" s="39"/>
      <c r="C77" s="38"/>
      <c r="D77" s="38"/>
      <c r="E77" s="11"/>
      <c r="F77" s="28"/>
      <c r="G77" s="12"/>
      <c r="H77" s="74"/>
      <c r="I77" s="60"/>
      <c r="J77" s="4"/>
      <c r="K77" s="26"/>
      <c r="L77" s="53"/>
      <c r="N77" s="113" t="str" cm="1">
        <f t="array" ref="N77">IFERROR(INDEX('Product List'!$A$2:$A$1002,MATCH(0,IF(1='Product List'!$C$2:$C$1002,COUNTIF('Change Request Form'!$N$36:$N76,'Product List'!$A$2:$A$1002),""),0)),"")</f>
        <v/>
      </c>
      <c r="O77" s="2" t="str">
        <f>IFERROR(IF(VLOOKUP(N77,'Product List'!A:D,4,FALSE)=1,VLOOKUP(N77,'Product List'!A:B,2,FALSE)&amp;"***",VLOOKUP(N77,'Product List'!A:B,2,FALSE)),"")</f>
        <v/>
      </c>
      <c r="P77" s="17"/>
      <c r="Q77" s="17"/>
    </row>
    <row r="78" spans="2:17" ht="21" customHeight="1">
      <c r="B78" s="39"/>
      <c r="C78" s="38"/>
      <c r="D78" s="38"/>
      <c r="E78" s="11"/>
      <c r="F78" s="28"/>
      <c r="G78" s="12"/>
      <c r="H78" s="74"/>
      <c r="I78" s="60"/>
      <c r="J78" s="4"/>
      <c r="K78" s="26"/>
      <c r="L78" s="53"/>
      <c r="N78" s="113" t="str" cm="1">
        <f t="array" ref="N78">IFERROR(INDEX('Product List'!$A$2:$A$1002,MATCH(0,IF(1='Product List'!$C$2:$C$1002,COUNTIF('Change Request Form'!$N$36:$N77,'Product List'!$A$2:$A$1002),""),0)),"")</f>
        <v/>
      </c>
      <c r="O78" s="2" t="str">
        <f>IFERROR(IF(VLOOKUP(N78,'Product List'!A:D,4,FALSE)=1,VLOOKUP(N78,'Product List'!A:B,2,FALSE)&amp;"***",VLOOKUP(N78,'Product List'!A:B,2,FALSE)),"")</f>
        <v/>
      </c>
      <c r="P78" s="17"/>
      <c r="Q78" s="17"/>
    </row>
    <row r="79" spans="2:17" ht="21" customHeight="1">
      <c r="B79" s="39"/>
      <c r="C79" s="38"/>
      <c r="D79" s="38"/>
      <c r="E79" s="11"/>
      <c r="F79" s="28"/>
      <c r="G79" s="12"/>
      <c r="H79" s="74"/>
      <c r="I79" s="60"/>
      <c r="J79" s="4"/>
      <c r="K79" s="26"/>
      <c r="L79" s="53"/>
      <c r="N79" s="113" t="str" cm="1">
        <f t="array" ref="N79">IFERROR(INDEX('Product List'!$A$2:$A$1002,MATCH(0,IF(1='Product List'!$C$2:$C$1002,COUNTIF('Change Request Form'!$N$36:$N78,'Product List'!$A$2:$A$1002),""),0)),"")</f>
        <v/>
      </c>
      <c r="O79" s="2" t="str">
        <f>IFERROR(IF(VLOOKUP(N79,'Product List'!A:D,4,FALSE)=1,VLOOKUP(N79,'Product List'!A:B,2,FALSE)&amp;"***",VLOOKUP(N79,'Product List'!A:B,2,FALSE)),"")</f>
        <v/>
      </c>
      <c r="P79" s="17"/>
      <c r="Q79" s="17"/>
    </row>
    <row r="80" spans="2:17" ht="21" customHeight="1">
      <c r="B80" s="39"/>
      <c r="C80" s="38"/>
      <c r="D80" s="38"/>
      <c r="E80" s="11"/>
      <c r="F80" s="28"/>
      <c r="G80" s="12"/>
      <c r="H80" s="74"/>
      <c r="I80" s="60"/>
      <c r="J80" s="4"/>
      <c r="K80" s="26"/>
      <c r="L80" s="53"/>
      <c r="N80" s="113" t="str" cm="1">
        <f t="array" ref="N80">IFERROR(INDEX('Product List'!$A$2:$A$1002,MATCH(0,IF(1='Product List'!$C$2:$C$1002,COUNTIF('Change Request Form'!$N$36:$N79,'Product List'!$A$2:$A$1002),""),0)),"")</f>
        <v/>
      </c>
      <c r="O80" s="2" t="str">
        <f>IFERROR(IF(VLOOKUP(N80,'Product List'!A:D,4,FALSE)=1,VLOOKUP(N80,'Product List'!A:B,2,FALSE)&amp;"***",VLOOKUP(N80,'Product List'!A:B,2,FALSE)),"")</f>
        <v/>
      </c>
      <c r="P80" s="17"/>
      <c r="Q80" s="17"/>
    </row>
    <row r="81" spans="2:17" ht="21" customHeight="1">
      <c r="B81" s="39"/>
      <c r="C81" s="38"/>
      <c r="D81" s="38"/>
      <c r="E81" s="11"/>
      <c r="F81" s="28"/>
      <c r="G81" s="12"/>
      <c r="H81" s="74"/>
      <c r="I81" s="60"/>
      <c r="J81" s="4"/>
      <c r="K81" s="26"/>
      <c r="L81" s="53"/>
      <c r="N81" s="113" t="str" cm="1">
        <f t="array" ref="N81">IFERROR(INDEX('Product List'!$A$2:$A$1002,MATCH(0,IF(1='Product List'!$C$2:$C$1002,COUNTIF('Change Request Form'!$N$36:$N80,'Product List'!$A$2:$A$1002),""),0)),"")</f>
        <v/>
      </c>
      <c r="O81" s="2" t="str">
        <f>IFERROR(IF(VLOOKUP(N81,'Product List'!A:D,4,FALSE)=1,VLOOKUP(N81,'Product List'!A:B,2,FALSE)&amp;"***",VLOOKUP(N81,'Product List'!A:B,2,FALSE)),"")</f>
        <v/>
      </c>
      <c r="P81" s="17"/>
      <c r="Q81" s="17"/>
    </row>
    <row r="82" spans="2:17" ht="21" customHeight="1">
      <c r="B82" s="39"/>
      <c r="C82" s="38"/>
      <c r="D82" s="38"/>
      <c r="E82" s="11"/>
      <c r="F82" s="28"/>
      <c r="G82" s="12"/>
      <c r="H82" s="74"/>
      <c r="I82" s="60"/>
      <c r="J82" s="4"/>
      <c r="K82" s="26"/>
      <c r="L82" s="53"/>
      <c r="N82" s="113" t="str" cm="1">
        <f t="array" ref="N82">IFERROR(INDEX('Product List'!$A$2:$A$1002,MATCH(0,IF(1='Product List'!$C$2:$C$1002,COUNTIF('Change Request Form'!$N$36:$N81,'Product List'!$A$2:$A$1002),""),0)),"")</f>
        <v/>
      </c>
      <c r="O82" s="2" t="str">
        <f>IFERROR(IF(VLOOKUP(N82,'Product List'!A:D,4,FALSE)=1,VLOOKUP(N82,'Product List'!A:B,2,FALSE)&amp;"***",VLOOKUP(N82,'Product List'!A:B,2,FALSE)),"")</f>
        <v/>
      </c>
      <c r="P82" s="17"/>
      <c r="Q82" s="17"/>
    </row>
    <row r="83" spans="2:17" ht="21" customHeight="1">
      <c r="B83" s="39"/>
      <c r="C83" s="38"/>
      <c r="D83" s="38"/>
      <c r="E83" s="11"/>
      <c r="F83" s="28"/>
      <c r="G83" s="12"/>
      <c r="H83" s="74"/>
      <c r="I83" s="60"/>
      <c r="J83" s="4"/>
      <c r="K83" s="26"/>
      <c r="L83" s="53"/>
      <c r="N83" s="113" t="str" cm="1">
        <f t="array" ref="N83">IFERROR(INDEX('Product List'!$A$2:$A$1002,MATCH(0,IF(1='Product List'!$C$2:$C$1002,COUNTIF('Change Request Form'!$N$36:$N82,'Product List'!$A$2:$A$1002),""),0)),"")</f>
        <v/>
      </c>
      <c r="O83" s="2" t="str">
        <f>IFERROR(IF(VLOOKUP(N83,'Product List'!A:D,4,FALSE)=1,VLOOKUP(N83,'Product List'!A:B,2,FALSE)&amp;"***",VLOOKUP(N83,'Product List'!A:B,2,FALSE)),"")</f>
        <v/>
      </c>
      <c r="P83" s="17"/>
      <c r="Q83" s="17"/>
    </row>
    <row r="84" spans="2:17" ht="21" customHeight="1">
      <c r="B84" s="39"/>
      <c r="C84" s="38"/>
      <c r="D84" s="38"/>
      <c r="E84" s="11"/>
      <c r="F84" s="28"/>
      <c r="G84" s="12"/>
      <c r="H84" s="74"/>
      <c r="I84" s="60"/>
      <c r="J84" s="4"/>
      <c r="K84" s="26"/>
      <c r="L84" s="53"/>
      <c r="N84" s="113" t="str" cm="1">
        <f t="array" ref="N84">IFERROR(INDEX('Product List'!$A$2:$A$1002,MATCH(0,IF(1='Product List'!$C$2:$C$1002,COUNTIF('Change Request Form'!$N$36:$N83,'Product List'!$A$2:$A$1002),""),0)),"")</f>
        <v/>
      </c>
      <c r="O84" s="2" t="str">
        <f>IFERROR(IF(VLOOKUP(N84,'Product List'!A:D,4,FALSE)=1,VLOOKUP(N84,'Product List'!A:B,2,FALSE)&amp;"***",VLOOKUP(N84,'Product List'!A:B,2,FALSE)),"")</f>
        <v/>
      </c>
      <c r="P84" s="17"/>
      <c r="Q84" s="17"/>
    </row>
    <row r="85" spans="2:17" ht="21" customHeight="1">
      <c r="B85" s="39"/>
      <c r="C85" s="38"/>
      <c r="D85" s="38"/>
      <c r="E85" s="11"/>
      <c r="F85" s="28"/>
      <c r="G85" s="12"/>
      <c r="H85" s="74"/>
      <c r="I85" s="60"/>
      <c r="J85" s="4"/>
      <c r="K85" s="26"/>
      <c r="L85" s="53"/>
      <c r="N85" s="113" t="str" cm="1">
        <f t="array" ref="N85">IFERROR(INDEX('Product List'!$A$2:$A$1002,MATCH(0,IF(1='Product List'!$C$2:$C$1002,COUNTIF('Change Request Form'!$N$36:$N84,'Product List'!$A$2:$A$1002),""),0)),"")</f>
        <v/>
      </c>
      <c r="O85" s="2" t="str">
        <f>IFERROR(IF(VLOOKUP(N85,'Product List'!A:D,4,FALSE)=1,VLOOKUP(N85,'Product List'!A:B,2,FALSE)&amp;"***",VLOOKUP(N85,'Product List'!A:B,2,FALSE)),"")</f>
        <v/>
      </c>
      <c r="P85" s="17"/>
      <c r="Q85" s="17"/>
    </row>
    <row r="86" spans="2:17" ht="21" customHeight="1">
      <c r="B86" s="39"/>
      <c r="C86" s="38"/>
      <c r="D86" s="38"/>
      <c r="E86" s="11"/>
      <c r="F86" s="28"/>
      <c r="G86" s="12"/>
      <c r="H86" s="74"/>
      <c r="I86" s="60"/>
      <c r="J86" s="4"/>
      <c r="K86" s="26"/>
      <c r="L86" s="53"/>
      <c r="N86" s="113" t="str" cm="1">
        <f t="array" ref="N86">IFERROR(INDEX('Product List'!$A$2:$A$1002,MATCH(0,IF(1='Product List'!$C$2:$C$1002,COUNTIF('Change Request Form'!$N$36:$N85,'Product List'!$A$2:$A$1002),""),0)),"")</f>
        <v/>
      </c>
      <c r="O86" s="2" t="str">
        <f>IFERROR(IF(VLOOKUP(N86,'Product List'!A:D,4,FALSE)=1,VLOOKUP(N86,'Product List'!A:B,2,FALSE)&amp;"***",VLOOKUP(N86,'Product List'!A:B,2,FALSE)),"")</f>
        <v/>
      </c>
      <c r="P86" s="17"/>
      <c r="Q86" s="17"/>
    </row>
    <row r="87" spans="2:17" ht="21" customHeight="1">
      <c r="B87" s="39"/>
      <c r="C87" s="38"/>
      <c r="D87" s="38"/>
      <c r="E87" s="11"/>
      <c r="F87" s="28"/>
      <c r="G87" s="12"/>
      <c r="H87" s="74"/>
      <c r="I87" s="60"/>
      <c r="J87" s="4"/>
      <c r="K87" s="26"/>
      <c r="L87" s="53"/>
      <c r="N87" s="113" t="str" cm="1">
        <f t="array" ref="N87">IFERROR(INDEX('Product List'!$A$2:$A$1002,MATCH(0,IF(1='Product List'!$C$2:$C$1002,COUNTIF('Change Request Form'!$N$36:$N86,'Product List'!$A$2:$A$1002),""),0)),"")</f>
        <v/>
      </c>
      <c r="O87" s="2" t="str">
        <f>IFERROR(IF(VLOOKUP(N87,'Product List'!A:D,4,FALSE)=1,VLOOKUP(N87,'Product List'!A:B,2,FALSE)&amp;"***",VLOOKUP(N87,'Product List'!A:B,2,FALSE)),"")</f>
        <v/>
      </c>
      <c r="P87" s="17"/>
      <c r="Q87" s="17"/>
    </row>
    <row r="88" spans="2:17" ht="21" customHeight="1">
      <c r="B88" s="39"/>
      <c r="C88" s="38"/>
      <c r="D88" s="38"/>
      <c r="E88" s="11"/>
      <c r="F88" s="28"/>
      <c r="G88" s="12"/>
      <c r="H88" s="74"/>
      <c r="I88" s="60"/>
      <c r="J88" s="4"/>
      <c r="K88" s="26"/>
      <c r="L88" s="53"/>
      <c r="N88" s="113" t="str" cm="1">
        <f t="array" ref="N88">IFERROR(INDEX('Product List'!$A$2:$A$1002,MATCH(0,IF(1='Product List'!$C$2:$C$1002,COUNTIF('Change Request Form'!$N$36:$N87,'Product List'!$A$2:$A$1002),""),0)),"")</f>
        <v/>
      </c>
      <c r="O88" s="2" t="str">
        <f>IFERROR(IF(VLOOKUP(N88,'Product List'!A:D,4,FALSE)=1,VLOOKUP(N88,'Product List'!A:B,2,FALSE)&amp;"***",VLOOKUP(N88,'Product List'!A:B,2,FALSE)),"")</f>
        <v/>
      </c>
      <c r="P88" s="17"/>
      <c r="Q88" s="17"/>
    </row>
    <row r="89" spans="2:17" ht="21" customHeight="1">
      <c r="B89" s="39"/>
      <c r="C89" s="38"/>
      <c r="D89" s="38"/>
      <c r="E89" s="11"/>
      <c r="F89" s="28"/>
      <c r="G89" s="12"/>
      <c r="H89" s="74"/>
      <c r="I89" s="60"/>
      <c r="J89" s="4"/>
      <c r="K89" s="26"/>
      <c r="L89" s="53"/>
      <c r="N89" s="113" t="str" cm="1">
        <f t="array" ref="N89">IFERROR(INDEX('Product List'!$A$2:$A$1002,MATCH(0,IF(1='Product List'!$C$2:$C$1002,COUNTIF('Change Request Form'!$N$36:$N88,'Product List'!$A$2:$A$1002),""),0)),"")</f>
        <v/>
      </c>
      <c r="O89" s="2" t="str">
        <f>IFERROR(IF(VLOOKUP(N89,'Product List'!A:D,4,FALSE)=1,VLOOKUP(N89,'Product List'!A:B,2,FALSE)&amp;"***",VLOOKUP(N89,'Product List'!A:B,2,FALSE)),"")</f>
        <v/>
      </c>
      <c r="P89" s="17"/>
      <c r="Q89" s="17"/>
    </row>
    <row r="90" spans="2:17" ht="21" customHeight="1">
      <c r="B90" s="39"/>
      <c r="C90" s="38"/>
      <c r="D90" s="38"/>
      <c r="E90" s="11"/>
      <c r="F90" s="28"/>
      <c r="G90" s="12"/>
      <c r="H90" s="74"/>
      <c r="I90" s="60"/>
      <c r="J90" s="4"/>
      <c r="K90" s="26"/>
      <c r="L90" s="53"/>
      <c r="N90" s="113" t="str" cm="1">
        <f t="array" ref="N90">IFERROR(INDEX('Product List'!$A$2:$A$1002,MATCH(0,IF(1='Product List'!$C$2:$C$1002,COUNTIF('Change Request Form'!$N$36:$N89,'Product List'!$A$2:$A$1002),""),0)),"")</f>
        <v/>
      </c>
      <c r="O90" s="2" t="str">
        <f>IFERROR(IF(VLOOKUP(N90,'Product List'!A:D,4,FALSE)=1,VLOOKUP(N90,'Product List'!A:B,2,FALSE)&amp;"***",VLOOKUP(N90,'Product List'!A:B,2,FALSE)),"")</f>
        <v/>
      </c>
      <c r="P90" s="17"/>
      <c r="Q90" s="17"/>
    </row>
    <row r="91" spans="2:17" ht="21" customHeight="1">
      <c r="B91" s="39"/>
      <c r="C91" s="38"/>
      <c r="D91" s="38"/>
      <c r="E91" s="11"/>
      <c r="F91" s="28"/>
      <c r="G91" s="12"/>
      <c r="H91" s="74"/>
      <c r="I91" s="60"/>
      <c r="J91" s="4"/>
      <c r="K91" s="26"/>
      <c r="L91" s="53"/>
      <c r="N91" s="113" t="str" cm="1">
        <f t="array" ref="N91">IFERROR(INDEX('Product List'!$A$2:$A$1002,MATCH(0,IF(1='Product List'!$C$2:$C$1002,COUNTIF('Change Request Form'!$N$36:$N90,'Product List'!$A$2:$A$1002),""),0)),"")</f>
        <v/>
      </c>
      <c r="O91" s="2" t="str">
        <f>IFERROR(IF(VLOOKUP(N91,'Product List'!A:D,4,FALSE)=1,VLOOKUP(N91,'Product List'!A:B,2,FALSE)&amp;"***",VLOOKUP(N91,'Product List'!A:B,2,FALSE)),"")</f>
        <v/>
      </c>
      <c r="P91" s="17"/>
      <c r="Q91" s="17"/>
    </row>
    <row r="92" spans="2:17" ht="21" customHeight="1">
      <c r="B92" s="39"/>
      <c r="C92" s="38"/>
      <c r="D92" s="38"/>
      <c r="E92" s="11"/>
      <c r="F92" s="28"/>
      <c r="G92" s="12"/>
      <c r="H92" s="74"/>
      <c r="I92" s="60"/>
      <c r="J92" s="4"/>
      <c r="K92" s="26"/>
      <c r="L92" s="53"/>
      <c r="N92" s="113" t="str" cm="1">
        <f t="array" ref="N92">IFERROR(INDEX('Product List'!$A$2:$A$1002,MATCH(0,IF(1='Product List'!$C$2:$C$1002,COUNTIF('Change Request Form'!$N$36:$N91,'Product List'!$A$2:$A$1002),""),0)),"")</f>
        <v/>
      </c>
      <c r="O92" s="2" t="str">
        <f>IFERROR(IF(VLOOKUP(N92,'Product List'!A:D,4,FALSE)=1,VLOOKUP(N92,'Product List'!A:B,2,FALSE)&amp;"***",VLOOKUP(N92,'Product List'!A:B,2,FALSE)),"")</f>
        <v/>
      </c>
      <c r="P92" s="17"/>
      <c r="Q92" s="17"/>
    </row>
    <row r="93" spans="2:17" ht="21" customHeight="1">
      <c r="B93" s="39"/>
      <c r="C93" s="38"/>
      <c r="D93" s="38"/>
      <c r="E93" s="11"/>
      <c r="F93" s="28"/>
      <c r="G93" s="12"/>
      <c r="H93" s="74"/>
      <c r="I93" s="60"/>
      <c r="J93" s="4"/>
      <c r="K93" s="26"/>
      <c r="L93" s="53"/>
      <c r="N93" s="113" t="str" cm="1">
        <f t="array" ref="N93">IFERROR(INDEX('Product List'!$A$2:$A$1002,MATCH(0,IF(1='Product List'!$C$2:$C$1002,COUNTIF('Change Request Form'!$N$36:$N92,'Product List'!$A$2:$A$1002),""),0)),"")</f>
        <v/>
      </c>
      <c r="O93" s="2" t="str">
        <f>IFERROR(IF(VLOOKUP(N93,'Product List'!A:D,4,FALSE)=1,VLOOKUP(N93,'Product List'!A:B,2,FALSE)&amp;"***",VLOOKUP(N93,'Product List'!A:B,2,FALSE)),"")</f>
        <v/>
      </c>
      <c r="P93" s="17"/>
      <c r="Q93" s="17"/>
    </row>
    <row r="94" spans="2:17" ht="21" customHeight="1">
      <c r="B94" s="39"/>
      <c r="C94" s="38"/>
      <c r="D94" s="38"/>
      <c r="E94" s="11"/>
      <c r="F94" s="28"/>
      <c r="G94" s="12"/>
      <c r="H94" s="74"/>
      <c r="I94" s="60"/>
      <c r="J94" s="4"/>
      <c r="K94" s="26"/>
      <c r="L94" s="53"/>
      <c r="N94" s="113" t="str" cm="1">
        <f t="array" ref="N94">IFERROR(INDEX('Product List'!$A$2:$A$1002,MATCH(0,IF(1='Product List'!$C$2:$C$1002,COUNTIF('Change Request Form'!$N$36:$N93,'Product List'!$A$2:$A$1002),""),0)),"")</f>
        <v/>
      </c>
      <c r="O94" s="2" t="str">
        <f>IFERROR(IF(VLOOKUP(N94,'Product List'!A:D,4,FALSE)=1,VLOOKUP(N94,'Product List'!A:B,2,FALSE)&amp;"***",VLOOKUP(N94,'Product List'!A:B,2,FALSE)),"")</f>
        <v/>
      </c>
      <c r="P94" s="17"/>
      <c r="Q94" s="17"/>
    </row>
    <row r="95" spans="2:17" ht="21" customHeight="1">
      <c r="B95" s="39"/>
      <c r="C95" s="38"/>
      <c r="D95" s="38"/>
      <c r="E95" s="11"/>
      <c r="F95" s="28"/>
      <c r="G95" s="12"/>
      <c r="H95" s="74"/>
      <c r="I95" s="60"/>
      <c r="J95" s="4"/>
      <c r="K95" s="26"/>
      <c r="L95" s="53"/>
      <c r="N95" s="113" t="str" cm="1">
        <f t="array" ref="N95">IFERROR(INDEX('Product List'!$A$2:$A$1002,MATCH(0,IF(1='Product List'!$C$2:$C$1002,COUNTIF('Change Request Form'!$N$36:$N94,'Product List'!$A$2:$A$1002),""),0)),"")</f>
        <v/>
      </c>
      <c r="O95" s="2" t="str">
        <f>IFERROR(IF(VLOOKUP(N95,'Product List'!A:D,4,FALSE)=1,VLOOKUP(N95,'Product List'!A:B,2,FALSE)&amp;"***",VLOOKUP(N95,'Product List'!A:B,2,FALSE)),"")</f>
        <v/>
      </c>
      <c r="P95" s="17"/>
      <c r="Q95" s="17"/>
    </row>
    <row r="96" spans="2:17" ht="21" customHeight="1">
      <c r="B96" s="39"/>
      <c r="C96" s="38"/>
      <c r="D96" s="38"/>
      <c r="E96" s="11"/>
      <c r="F96" s="28"/>
      <c r="G96" s="12"/>
      <c r="H96" s="74"/>
      <c r="I96" s="60"/>
      <c r="J96" s="4"/>
      <c r="K96" s="26"/>
      <c r="L96" s="53"/>
      <c r="N96" s="113" t="str" cm="1">
        <f t="array" ref="N96">IFERROR(INDEX('Product List'!$A$2:$A$1002,MATCH(0,IF(1='Product List'!$C$2:$C$1002,COUNTIF('Change Request Form'!$N$36:$N95,'Product List'!$A$2:$A$1002),""),0)),"")</f>
        <v/>
      </c>
      <c r="O96" s="2" t="str">
        <f>IFERROR(IF(VLOOKUP(N96,'Product List'!A:D,4,FALSE)=1,VLOOKUP(N96,'Product List'!A:B,2,FALSE)&amp;"***",VLOOKUP(N96,'Product List'!A:B,2,FALSE)),"")</f>
        <v/>
      </c>
      <c r="P96" s="17"/>
      <c r="Q96" s="17"/>
    </row>
    <row r="97" spans="2:17" ht="21" customHeight="1">
      <c r="B97" s="39"/>
      <c r="C97" s="38"/>
      <c r="D97" s="38"/>
      <c r="E97" s="11"/>
      <c r="F97" s="28"/>
      <c r="G97" s="12"/>
      <c r="H97" s="74"/>
      <c r="I97" s="60"/>
      <c r="J97" s="4"/>
      <c r="K97" s="26"/>
      <c r="L97" s="53"/>
      <c r="N97" s="113" t="str" cm="1">
        <f t="array" ref="N97">IFERROR(INDEX('Product List'!$A$2:$A$1002,MATCH(0,IF(1='Product List'!$C$2:$C$1002,COUNTIF('Change Request Form'!$N$36:$N96,'Product List'!$A$2:$A$1002),""),0)),"")</f>
        <v/>
      </c>
      <c r="O97" s="2" t="str">
        <f>IFERROR(IF(VLOOKUP(N97,'Product List'!A:D,4,FALSE)=1,VLOOKUP(N97,'Product List'!A:B,2,FALSE)&amp;"***",VLOOKUP(N97,'Product List'!A:B,2,FALSE)),"")</f>
        <v/>
      </c>
      <c r="P97" s="17"/>
      <c r="Q97" s="17"/>
    </row>
    <row r="98" spans="2:17" ht="22.5" customHeight="1">
      <c r="B98" s="54"/>
      <c r="C98" s="2" t="s">
        <v>32</v>
      </c>
      <c r="E98" s="55"/>
      <c r="F98" s="55"/>
      <c r="G98" s="55"/>
      <c r="H98" s="76" t="s">
        <v>33</v>
      </c>
      <c r="I98" s="62">
        <f>SUM(I32:I97)</f>
        <v>0</v>
      </c>
      <c r="J98" s="13">
        <f>SUM(J32:J97)</f>
        <v>0</v>
      </c>
      <c r="K98" s="13"/>
      <c r="N98" s="113" t="str" cm="1">
        <f t="array" ref="N98">IFERROR(INDEX('Product List'!$A$2:$A$1002,MATCH(0,IF(1='Product List'!$C$2:$C$1002,COUNTIF('Change Request Form'!$N$36:$N97,'Product List'!$A$2:$A$1002),""),0)),"")</f>
        <v/>
      </c>
      <c r="O98" s="2" t="str">
        <f>IFERROR(IF(VLOOKUP(N98,'Product List'!A:D,4,FALSE)=1,VLOOKUP(N98,'Product List'!A:B,2,FALSE)&amp;"***",VLOOKUP(N98,'Product List'!A:B,2,FALSE)),"")</f>
        <v/>
      </c>
      <c r="P98" s="17"/>
      <c r="Q98" s="17"/>
    </row>
    <row r="99" spans="2:17" ht="14.4" thickBot="1">
      <c r="B99" s="168" t="s">
        <v>34</v>
      </c>
      <c r="C99" s="169"/>
      <c r="D99" s="169"/>
      <c r="E99" s="169"/>
      <c r="F99" s="169"/>
      <c r="G99" s="169"/>
      <c r="H99" s="170"/>
      <c r="N99" s="113" t="str" cm="1">
        <f t="array" ref="N99">IFERROR(INDEX('Product List'!$A$2:$A$1002,MATCH(0,IF(1='Product List'!$C$2:$C$1002,COUNTIF('Change Request Form'!$N$36:$N98,'Product List'!$A$2:$A$1002),""),0)),"")</f>
        <v/>
      </c>
      <c r="O99" s="2" t="str">
        <f>IFERROR(IF(VLOOKUP(N99,'Product List'!A:D,4,FALSE)=1,VLOOKUP(N99,'Product List'!A:B,2,FALSE)&amp;"***",VLOOKUP(N99,'Product List'!A:B,2,FALSE)),"")</f>
        <v/>
      </c>
      <c r="P99" s="17"/>
      <c r="Q99" s="17"/>
    </row>
    <row r="100" spans="2:17">
      <c r="B100" s="16"/>
      <c r="N100" s="113" t="str" cm="1">
        <f t="array" ref="N100">IFERROR(INDEX('Product List'!$A$2:$A$1002,MATCH(0,IF(1='Product List'!$C$2:$C$1002,COUNTIF('Change Request Form'!$N$36:$N99,'Product List'!$A$2:$A$1002),""),0)),"")</f>
        <v/>
      </c>
      <c r="O100" s="2" t="str">
        <f>IFERROR(IF(VLOOKUP(N100,'Product List'!A:D,4,FALSE)=1,VLOOKUP(N100,'Product List'!A:B,2,FALSE)&amp;"***",VLOOKUP(N100,'Product List'!A:B,2,FALSE)),"")</f>
        <v/>
      </c>
      <c r="P100" s="17"/>
      <c r="Q100" s="17"/>
    </row>
    <row r="101" spans="2:17">
      <c r="B101" s="166" t="s">
        <v>35</v>
      </c>
      <c r="C101" s="167"/>
      <c r="D101" s="167"/>
      <c r="E101" s="167"/>
      <c r="F101" s="167"/>
      <c r="G101" s="167"/>
      <c r="H101" s="167"/>
      <c r="N101" s="113" t="str" cm="1">
        <f t="array" ref="N101">IFERROR(INDEX('Product List'!$A$2:$A$1002,MATCH(0,IF(1='Product List'!$C$2:$C$1002,COUNTIF('Change Request Form'!$N$36:$N100,'Product List'!$A$2:$A$1002),""),0)),"")</f>
        <v/>
      </c>
      <c r="O101" s="2" t="str">
        <f>IFERROR(IF(VLOOKUP(N101,'Product List'!A:D,4,FALSE)=1,VLOOKUP(N101,'Product List'!A:B,2,FALSE)&amp;"***",VLOOKUP(N101,'Product List'!A:B,2,FALSE)),"")</f>
        <v/>
      </c>
      <c r="P101" s="17"/>
      <c r="Q101" s="17"/>
    </row>
    <row r="102" spans="2:17">
      <c r="B102" s="16"/>
      <c r="N102" s="113" t="str" cm="1">
        <f t="array" ref="N102">IFERROR(INDEX('Product List'!$A$2:$A$1002,MATCH(0,IF(1='Product List'!$C$2:$C$1002,COUNTIF('Change Request Form'!$N$36:$N101,'Product List'!$A$2:$A$1002),""),0)),"")</f>
        <v/>
      </c>
      <c r="O102" s="2" t="str">
        <f>IFERROR(IF(VLOOKUP(N102,'Product List'!A:D,4,FALSE)=1,VLOOKUP(N102,'Product List'!A:B,2,FALSE)&amp;"***",VLOOKUP(N102,'Product List'!A:B,2,FALSE)),"")</f>
        <v/>
      </c>
      <c r="P102" s="17"/>
      <c r="Q102" s="17"/>
    </row>
    <row r="103" spans="2:17">
      <c r="B103" s="16"/>
      <c r="N103" s="113" t="str" cm="1">
        <f t="array" ref="N103">IFERROR(INDEX('Product List'!$A$2:$A$1002,MATCH(0,IF(1='Product List'!$C$2:$C$1002,COUNTIF('Change Request Form'!$N$36:$N102,'Product List'!$A$2:$A$1002),""),0)),"")</f>
        <v/>
      </c>
      <c r="O103" s="2" t="str">
        <f>IFERROR(IF(VLOOKUP(N103,'Product List'!A:D,4,FALSE)=1,VLOOKUP(N103,'Product List'!A:B,2,FALSE)&amp;"***",VLOOKUP(N103,'Product List'!A:B,2,FALSE)),"")</f>
        <v/>
      </c>
      <c r="P103" s="17"/>
      <c r="Q103" s="17"/>
    </row>
    <row r="104" spans="2:17">
      <c r="B104" s="16"/>
      <c r="N104" s="113" t="str" cm="1">
        <f t="array" ref="N104">IFERROR(INDEX('Product List'!$A$2:$A$1002,MATCH(0,IF(1='Product List'!$C$2:$C$1002,COUNTIF('Change Request Form'!$N$36:$N103,'Product List'!$A$2:$A$1002),""),0)),"")</f>
        <v/>
      </c>
      <c r="O104" s="2" t="str">
        <f>IFERROR(IF(VLOOKUP(N104,'Product List'!A:D,4,FALSE)=1,VLOOKUP(N104,'Product List'!A:B,2,FALSE)&amp;"***",VLOOKUP(N104,'Product List'!A:B,2,FALSE)),"")</f>
        <v/>
      </c>
      <c r="P104" s="17"/>
      <c r="Q104" s="17"/>
    </row>
    <row r="105" spans="2:17">
      <c r="B105" s="16"/>
      <c r="N105" s="113" t="str" cm="1">
        <f t="array" ref="N105">IFERROR(INDEX('Product List'!$A$2:$A$1002,MATCH(0,IF(1='Product List'!$C$2:$C$1002,COUNTIF('Change Request Form'!$N$36:$N104,'Product List'!$A$2:$A$1002),""),0)),"")</f>
        <v/>
      </c>
      <c r="O105" s="2" t="str">
        <f>IFERROR(IF(VLOOKUP(N105,'Product List'!A:D,4,FALSE)=1,VLOOKUP(N105,'Product List'!A:B,2,FALSE)&amp;"***",VLOOKUP(N105,'Product List'!A:B,2,FALSE)),"")</f>
        <v/>
      </c>
      <c r="P105" s="17"/>
      <c r="Q105" s="17"/>
    </row>
    <row r="106" spans="2:17">
      <c r="B106" s="16"/>
      <c r="N106" s="113" t="str" cm="1">
        <f t="array" ref="N106">IFERROR(INDEX('Product List'!$A$2:$A$1002,MATCH(0,IF(1='Product List'!$C$2:$C$1002,COUNTIF('Change Request Form'!$N$36:$N105,'Product List'!$A$2:$A$1002),""),0)),"")</f>
        <v/>
      </c>
      <c r="O106" s="2" t="str">
        <f>IFERROR(IF(VLOOKUP(N106,'Product List'!A:D,4,FALSE)=1,VLOOKUP(N106,'Product List'!A:B,2,FALSE)&amp;"***",VLOOKUP(N106,'Product List'!A:B,2,FALSE)),"")</f>
        <v/>
      </c>
      <c r="P106" s="17"/>
      <c r="Q106" s="17"/>
    </row>
    <row r="107" spans="2:17">
      <c r="B107" s="16"/>
      <c r="N107" s="113" t="str" cm="1">
        <f t="array" ref="N107">IFERROR(INDEX('Product List'!$A$2:$A$1002,MATCH(0,IF(1='Product List'!$C$2:$C$1002,COUNTIF('Change Request Form'!$N$36:$N106,'Product List'!$A$2:$A$1002),""),0)),"")</f>
        <v/>
      </c>
      <c r="O107" s="2" t="str">
        <f>IFERROR(IF(VLOOKUP(N107,'Product List'!A:D,4,FALSE)=1,VLOOKUP(N107,'Product List'!A:B,2,FALSE)&amp;"***",VLOOKUP(N107,'Product List'!A:B,2,FALSE)),"")</f>
        <v/>
      </c>
      <c r="P107" s="17"/>
      <c r="Q107" s="17"/>
    </row>
    <row r="108" spans="2:17">
      <c r="B108" s="16"/>
      <c r="N108" s="113" t="str" cm="1">
        <f t="array" ref="N108">IFERROR(INDEX('Product List'!$A$2:$A$1002,MATCH(0,IF(1='Product List'!$C$2:$C$1002,COUNTIF('Change Request Form'!$N$36:$N107,'Product List'!$A$2:$A$1002),""),0)),"")</f>
        <v/>
      </c>
      <c r="O108" s="2" t="str">
        <f>IFERROR(IF(VLOOKUP(N108,'Product List'!A:D,4,FALSE)=1,VLOOKUP(N108,'Product List'!A:B,2,FALSE)&amp;"***",VLOOKUP(N108,'Product List'!A:B,2,FALSE)),"")</f>
        <v/>
      </c>
      <c r="P108" s="17"/>
      <c r="Q108" s="17"/>
    </row>
    <row r="109" spans="2:17">
      <c r="B109" s="16"/>
      <c r="N109" s="113" t="str" cm="1">
        <f t="array" ref="N109">IFERROR(INDEX('Product List'!$A$2:$A$1002,MATCH(0,IF(1='Product List'!$C$2:$C$1002,COUNTIF('Change Request Form'!$N$36:$N108,'Product List'!$A$2:$A$1002),""),0)),"")</f>
        <v/>
      </c>
      <c r="O109" s="2" t="str">
        <f>IFERROR(IF(VLOOKUP(N109,'Product List'!A:D,4,FALSE)=1,VLOOKUP(N109,'Product List'!A:B,2,FALSE)&amp;"***",VLOOKUP(N109,'Product List'!A:B,2,FALSE)),"")</f>
        <v/>
      </c>
      <c r="P109" s="17"/>
      <c r="Q109" s="17"/>
    </row>
    <row r="110" spans="2:17">
      <c r="B110" s="16"/>
      <c r="N110" s="113" t="str" cm="1">
        <f t="array" ref="N110">IFERROR(INDEX('Product List'!$A$2:$A$1002,MATCH(0,IF(1='Product List'!$C$2:$C$1002,COUNTIF('Change Request Form'!$N$36:$N109,'Product List'!$A$2:$A$1002),""),0)),"")</f>
        <v/>
      </c>
      <c r="O110" s="2" t="str">
        <f>IFERROR(IF(VLOOKUP(N110,'Product List'!A:D,4,FALSE)=1,VLOOKUP(N110,'Product List'!A:B,2,FALSE)&amp;"***",VLOOKUP(N110,'Product List'!A:B,2,FALSE)),"")</f>
        <v/>
      </c>
      <c r="P110" s="17"/>
      <c r="Q110" s="17"/>
    </row>
    <row r="111" spans="2:17">
      <c r="B111" s="16"/>
      <c r="N111" s="113" t="str" cm="1">
        <f t="array" ref="N111">IFERROR(INDEX('Product List'!$A$2:$A$1002,MATCH(0,IF(1='Product List'!$C$2:$C$1002,COUNTIF('Change Request Form'!$N$36:$N110,'Product List'!$A$2:$A$1002),""),0)),"")</f>
        <v/>
      </c>
      <c r="O111" s="2" t="str">
        <f>IFERROR(IF(VLOOKUP(N111,'Product List'!A:D,4,FALSE)=1,VLOOKUP(N111,'Product List'!A:B,2,FALSE)&amp;"***",VLOOKUP(N111,'Product List'!A:B,2,FALSE)),"")</f>
        <v/>
      </c>
      <c r="P111" s="17"/>
      <c r="Q111" s="17"/>
    </row>
    <row r="112" spans="2:17">
      <c r="B112" s="16"/>
      <c r="N112" s="113" t="str" cm="1">
        <f t="array" ref="N112">IFERROR(INDEX('Product List'!$A$2:$A$1002,MATCH(0,IF(1='Product List'!$C$2:$C$1002,COUNTIF('Change Request Form'!$N$36:$N111,'Product List'!$A$2:$A$1002),""),0)),"")</f>
        <v/>
      </c>
      <c r="O112" s="2" t="str">
        <f>IFERROR(IF(VLOOKUP(N112,'Product List'!A:D,4,FALSE)=1,VLOOKUP(N112,'Product List'!A:B,2,FALSE)&amp;"***",VLOOKUP(N112,'Product List'!A:B,2,FALSE)),"")</f>
        <v/>
      </c>
      <c r="P112" s="17"/>
      <c r="Q112" s="17"/>
    </row>
    <row r="113" spans="2:17" ht="14.4" thickBot="1">
      <c r="B113" s="16"/>
      <c r="N113" s="114" t="str" cm="1">
        <f t="array" ref="N113">IFERROR(INDEX('Product List'!$A$2:$A$1002,MATCH(0,IF(1='Product List'!$C$2:$C$1002,COUNTIF('Change Request Form'!$N$36:$N112,'Product List'!$A$2:$A$1002),""),0)),"")</f>
        <v/>
      </c>
      <c r="O113" s="20" t="str">
        <f>IFERROR(IF(VLOOKUP(N113,'Product List'!A:D,4,FALSE)=1,VLOOKUP(N113,'Product List'!A:B,2,FALSE)&amp;"***",VLOOKUP(N113,'Product List'!A:B,2,FALSE)),"")</f>
        <v/>
      </c>
      <c r="P113" s="21"/>
      <c r="Q113" s="17"/>
    </row>
    <row r="114" spans="2:17" ht="14.4" thickBot="1">
      <c r="B114" s="19"/>
      <c r="C114" s="20"/>
      <c r="D114" s="20"/>
      <c r="E114" s="20"/>
      <c r="F114" s="20"/>
      <c r="G114" s="20"/>
      <c r="H114" s="20"/>
      <c r="I114" s="20"/>
      <c r="J114" s="20"/>
      <c r="K114" s="20"/>
      <c r="L114" s="20"/>
      <c r="M114" s="20"/>
      <c r="N114" s="20"/>
      <c r="O114" s="20"/>
      <c r="P114" s="20"/>
      <c r="Q114" s="21"/>
    </row>
    <row r="150984" spans="1276:1276">
      <c r="AWB150984" s="2" t="s">
        <v>331</v>
      </c>
    </row>
  </sheetData>
  <mergeCells count="31">
    <mergeCell ref="B101:H101"/>
    <mergeCell ref="B99:H99"/>
    <mergeCell ref="E25:H25"/>
    <mergeCell ref="E26:H26"/>
    <mergeCell ref="E27:H27"/>
    <mergeCell ref="E28:H28"/>
    <mergeCell ref="E29:H29"/>
    <mergeCell ref="E11:H11"/>
    <mergeCell ref="B14:C14"/>
    <mergeCell ref="B8:H8"/>
    <mergeCell ref="B13:C13"/>
    <mergeCell ref="E15:H15"/>
    <mergeCell ref="E14:H14"/>
    <mergeCell ref="E13:H13"/>
    <mergeCell ref="B11:C11"/>
    <mergeCell ref="N34:P35"/>
    <mergeCell ref="N33:P33"/>
    <mergeCell ref="I30:J30"/>
    <mergeCell ref="B1:H1"/>
    <mergeCell ref="B3:H3"/>
    <mergeCell ref="B2:H2"/>
    <mergeCell ref="B24:H24"/>
    <mergeCell ref="B4:H4"/>
    <mergeCell ref="B10:C10"/>
    <mergeCell ref="E10:H10"/>
    <mergeCell ref="B18:H18"/>
    <mergeCell ref="E16:H16"/>
    <mergeCell ref="B15:C16"/>
    <mergeCell ref="B9:H9"/>
    <mergeCell ref="B6:H6"/>
    <mergeCell ref="B12:C12"/>
  </mergeCells>
  <phoneticPr fontId="0" type="noConversion"/>
  <dataValidations disablePrompts="1" count="1">
    <dataValidation type="list" allowBlank="1" showInputMessage="1" showErrorMessage="1" sqref="G20:G21 G32:G97" xr:uid="{F9BC1514-4BD3-4B86-A0D2-E398A9CE3B83}">
      <formula1>$B$11:$B$16</formula1>
    </dataValidation>
  </dataValidations>
  <pageMargins left="0" right="0" top="0.15748031496062992" bottom="0.15748031496062992" header="0.31496062992125984" footer="0.31496062992125984"/>
  <pageSetup paperSize="9" scale="36"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 id="{DF1E17FA-BC3B-4520-BA18-0049A24C034E}">
            <xm:f>AND($O37&lt;&gt;"",SUMIF('Product List'!$B:$B,$O37,'Product List'!$D:$D)&gt;0)</xm:f>
            <x14:dxf>
              <fill>
                <patternFill>
                  <bgColor rgb="FF92D050"/>
                </patternFill>
              </fill>
            </x14:dxf>
          </x14:cfRule>
          <xm:sqref>O37:O113</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D7047F20-12A5-47AF-BB8F-100B4B1D0C1A}">
          <x14:formula1>
            <xm:f>'Product List'!$G$1:$G$2</xm:f>
          </x14:formula1>
          <xm:sqref>E20:E21 E32:E97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BA8B0-F76F-4D0C-9BE6-207C21DCD922}">
  <dimension ref="A1:H869"/>
  <sheetViews>
    <sheetView topLeftCell="A144" workbookViewId="0">
      <selection activeCell="A151" sqref="A151:XFD151"/>
    </sheetView>
  </sheetViews>
  <sheetFormatPr defaultRowHeight="14.4"/>
  <cols>
    <col min="1" max="1" width="15.44140625" style="102" customWidth="1"/>
    <col min="2" max="2" width="34.77734375" style="106" bestFit="1" customWidth="1"/>
    <col min="3" max="3" width="9.21875" hidden="1" customWidth="1"/>
    <col min="4" max="4" width="9.21875" style="91" hidden="1" customWidth="1"/>
    <col min="5" max="5" width="9.21875" hidden="1" customWidth="1"/>
    <col min="6" max="6" width="25.44140625" hidden="1" customWidth="1"/>
    <col min="7" max="8" width="9.21875" hidden="1" customWidth="1"/>
    <col min="9" max="24" width="9.21875" customWidth="1"/>
  </cols>
  <sheetData>
    <row r="1" spans="1:7" ht="22.8">
      <c r="A1" s="100" t="s">
        <v>30</v>
      </c>
      <c r="B1" s="101" t="s">
        <v>36</v>
      </c>
      <c r="C1" t="s">
        <v>328</v>
      </c>
      <c r="D1" s="91" t="s">
        <v>37</v>
      </c>
      <c r="G1" t="s">
        <v>17</v>
      </c>
    </row>
    <row r="2" spans="1:7">
      <c r="A2" s="102">
        <v>8549021</v>
      </c>
      <c r="B2" s="103" t="s">
        <v>38</v>
      </c>
      <c r="C2">
        <f>IF('Change Request Form'!$N$34="",0,COUNTIF(B2,"*"&amp;'Change Request Form'!$N$34&amp;"*"))</f>
        <v>0</v>
      </c>
      <c r="G2" t="s">
        <v>39</v>
      </c>
    </row>
    <row r="3" spans="1:7" ht="16.8">
      <c r="A3" s="104">
        <v>112085</v>
      </c>
      <c r="B3" s="105" t="s">
        <v>28</v>
      </c>
      <c r="C3">
        <f>IF('Change Request Form'!$N$34="",0,COUNTIF(B3,"*"&amp;'Change Request Form'!$N$34&amp;"*"))</f>
        <v>0</v>
      </c>
    </row>
    <row r="4" spans="1:7">
      <c r="A4" s="102">
        <v>15263011</v>
      </c>
      <c r="B4" s="106" t="s">
        <v>40</v>
      </c>
      <c r="C4">
        <f>IF('Change Request Form'!$N$34="",0,COUNTIF(B4,"*"&amp;'Change Request Form'!$N$34&amp;"*"))</f>
        <v>1</v>
      </c>
    </row>
    <row r="5" spans="1:7">
      <c r="A5" s="102">
        <v>15263000</v>
      </c>
      <c r="B5" s="106" t="s">
        <v>40</v>
      </c>
      <c r="C5">
        <f>IF('Change Request Form'!$N$34="",0,COUNTIF(B5,"*"&amp;'Change Request Form'!$N$34&amp;"*"))</f>
        <v>1</v>
      </c>
    </row>
    <row r="6" spans="1:7">
      <c r="A6" s="102">
        <v>141571</v>
      </c>
      <c r="B6" s="106" t="s">
        <v>41</v>
      </c>
      <c r="C6">
        <f>IF('Change Request Form'!$N$34="",0,COUNTIF(B6,"*"&amp;'Change Request Form'!$N$34&amp;"*"))</f>
        <v>1</v>
      </c>
    </row>
    <row r="7" spans="1:7">
      <c r="A7" s="102">
        <v>141368</v>
      </c>
      <c r="B7" s="106" t="s">
        <v>41</v>
      </c>
      <c r="C7">
        <f>IF('Change Request Form'!$N$34="",0,COUNTIF(B7,"*"&amp;'Change Request Form'!$N$34&amp;"*"))</f>
        <v>1</v>
      </c>
    </row>
    <row r="8" spans="1:7">
      <c r="A8" s="102">
        <v>127941</v>
      </c>
      <c r="B8" s="106" t="s">
        <v>42</v>
      </c>
      <c r="C8">
        <f>IF('Change Request Form'!$N$34="",0,COUNTIF(B8,"*"&amp;'Change Request Form'!$N$34&amp;"*"))</f>
        <v>1</v>
      </c>
      <c r="D8" s="91">
        <v>1</v>
      </c>
    </row>
    <row r="9" spans="1:7">
      <c r="A9" s="102">
        <v>5429611</v>
      </c>
      <c r="B9" s="106" t="s">
        <v>43</v>
      </c>
      <c r="C9">
        <f>IF('Change Request Form'!$N$34="",0,COUNTIF(B9,"*"&amp;'Change Request Form'!$N$34&amp;"*"))</f>
        <v>1</v>
      </c>
      <c r="D9" s="91">
        <v>1</v>
      </c>
    </row>
    <row r="10" spans="1:7">
      <c r="A10" s="102">
        <v>5429684</v>
      </c>
      <c r="B10" s="106" t="s">
        <v>44</v>
      </c>
      <c r="C10">
        <f>IF('Change Request Form'!$N$34="",0,COUNTIF(B10,"*"&amp;'Change Request Form'!$N$34&amp;"*"))</f>
        <v>1</v>
      </c>
      <c r="D10" s="91">
        <v>1</v>
      </c>
    </row>
    <row r="11" spans="1:7">
      <c r="A11" s="102">
        <v>5429612</v>
      </c>
      <c r="B11" s="106" t="s">
        <v>44</v>
      </c>
      <c r="C11">
        <f>IF('Change Request Form'!$N$34="",0,COUNTIF(B11,"*"&amp;'Change Request Form'!$N$34&amp;"*"))</f>
        <v>1</v>
      </c>
      <c r="D11" s="91">
        <v>1</v>
      </c>
    </row>
    <row r="12" spans="1:7">
      <c r="A12" s="102">
        <v>3723350</v>
      </c>
      <c r="B12" s="106" t="s">
        <v>45</v>
      </c>
      <c r="C12">
        <f>IF('Change Request Form'!$N$34="",0,COUNTIF(B12,"*"&amp;'Change Request Form'!$N$34&amp;"*"))</f>
        <v>1</v>
      </c>
      <c r="D12" s="91">
        <v>1</v>
      </c>
    </row>
    <row r="13" spans="1:7">
      <c r="A13" s="102">
        <v>141572</v>
      </c>
      <c r="B13" s="106" t="s">
        <v>46</v>
      </c>
      <c r="C13">
        <f>IF('Change Request Form'!$N$34="",0,COUNTIF(B13,"*"&amp;'Change Request Form'!$N$34&amp;"*"))</f>
        <v>1</v>
      </c>
    </row>
    <row r="14" spans="1:7">
      <c r="A14" s="102">
        <v>141542</v>
      </c>
      <c r="B14" s="106" t="s">
        <v>46</v>
      </c>
      <c r="C14">
        <f>IF('Change Request Form'!$N$34="",0,COUNTIF(B14,"*"&amp;'Change Request Form'!$N$34&amp;"*"))</f>
        <v>1</v>
      </c>
    </row>
    <row r="15" spans="1:7">
      <c r="A15" s="102">
        <v>141574</v>
      </c>
      <c r="B15" s="106" t="s">
        <v>46</v>
      </c>
      <c r="C15">
        <f>IF('Change Request Form'!$N$34="",0,COUNTIF(B15,"*"&amp;'Change Request Form'!$N$34&amp;"*"))</f>
        <v>1</v>
      </c>
    </row>
    <row r="16" spans="1:7">
      <c r="A16" s="102">
        <v>141538</v>
      </c>
      <c r="B16" s="106" t="s">
        <v>46</v>
      </c>
      <c r="C16">
        <f>IF('Change Request Form'!$N$34="",0,COUNTIF(B16,"*"&amp;'Change Request Form'!$N$34&amp;"*"))</f>
        <v>1</v>
      </c>
    </row>
    <row r="17" spans="1:4">
      <c r="A17" s="102">
        <v>14205004</v>
      </c>
      <c r="B17" s="106" t="s">
        <v>47</v>
      </c>
      <c r="C17">
        <f>IF('Change Request Form'!$N$34="",0,COUNTIF(B17,"*"&amp;'Change Request Form'!$N$34&amp;"*"))</f>
        <v>1</v>
      </c>
    </row>
    <row r="18" spans="1:4">
      <c r="A18" s="102">
        <v>6145075</v>
      </c>
      <c r="B18" s="106" t="s">
        <v>47</v>
      </c>
      <c r="C18">
        <f>IF('Change Request Form'!$N$34="",0,COUNTIF(B18,"*"&amp;'Change Request Form'!$N$34&amp;"*"))</f>
        <v>1</v>
      </c>
    </row>
    <row r="19" spans="1:4">
      <c r="A19" s="102">
        <v>6723080</v>
      </c>
      <c r="B19" s="106" t="s">
        <v>48</v>
      </c>
      <c r="C19">
        <f>IF('Change Request Form'!$N$34="",0,COUNTIF(B19,"*"&amp;'Change Request Form'!$N$34&amp;"*"))</f>
        <v>1</v>
      </c>
    </row>
    <row r="20" spans="1:4">
      <c r="A20" s="102">
        <v>6723100</v>
      </c>
      <c r="B20" s="106" t="s">
        <v>48</v>
      </c>
      <c r="C20">
        <f>IF('Change Request Form'!$N$34="",0,COUNTIF(B20,"*"&amp;'Change Request Form'!$N$34&amp;"*"))</f>
        <v>1</v>
      </c>
    </row>
    <row r="21" spans="1:4">
      <c r="A21" s="102">
        <v>12142001</v>
      </c>
      <c r="B21" s="106" t="s">
        <v>49</v>
      </c>
      <c r="C21">
        <f>IF('Change Request Form'!$N$34="",0,COUNTIF(B21,"*"&amp;'Change Request Form'!$N$34&amp;"*"))</f>
        <v>1</v>
      </c>
    </row>
    <row r="22" spans="1:4">
      <c r="A22" s="102">
        <v>6358100</v>
      </c>
      <c r="B22" s="106" t="s">
        <v>50</v>
      </c>
      <c r="C22">
        <f>IF('Change Request Form'!$N$34="",0,COUNTIF(B22,"*"&amp;'Change Request Form'!$N$34&amp;"*"))</f>
        <v>1</v>
      </c>
      <c r="D22" s="91">
        <v>1</v>
      </c>
    </row>
    <row r="23" spans="1:4">
      <c r="A23" s="102">
        <v>258102</v>
      </c>
      <c r="B23" s="106" t="s">
        <v>51</v>
      </c>
      <c r="C23">
        <f>IF('Change Request Form'!$N$34="",0,COUNTIF(B23,"*"&amp;'Change Request Form'!$N$34&amp;"*"))</f>
        <v>0</v>
      </c>
    </row>
    <row r="24" spans="1:4">
      <c r="A24" s="102">
        <v>5059</v>
      </c>
      <c r="B24" s="106" t="s">
        <v>52</v>
      </c>
      <c r="C24">
        <f>IF('Change Request Form'!$N$34="",0,COUNTIF(B24,"*"&amp;'Change Request Form'!$N$34&amp;"*"))</f>
        <v>0</v>
      </c>
    </row>
    <row r="25" spans="1:4">
      <c r="A25" s="102">
        <v>5399</v>
      </c>
      <c r="B25" s="106" t="s">
        <v>52</v>
      </c>
      <c r="C25">
        <f>IF('Change Request Form'!$N$34="",0,COUNTIF(B25,"*"&amp;'Change Request Form'!$N$34&amp;"*"))</f>
        <v>0</v>
      </c>
    </row>
    <row r="26" spans="1:4">
      <c r="A26" s="102">
        <v>5052</v>
      </c>
      <c r="B26" s="106" t="s">
        <v>52</v>
      </c>
      <c r="C26">
        <f>IF('Change Request Form'!$N$34="",0,COUNTIF(B26,"*"&amp;'Change Request Form'!$N$34&amp;"*"))</f>
        <v>0</v>
      </c>
    </row>
    <row r="27" spans="1:4">
      <c r="A27" s="102">
        <v>5875066</v>
      </c>
      <c r="B27" s="106" t="s">
        <v>53</v>
      </c>
      <c r="C27">
        <f>IF('Change Request Form'!$N$34="",0,COUNTIF(B27,"*"&amp;'Change Request Form'!$N$34&amp;"*"))</f>
        <v>0</v>
      </c>
    </row>
    <row r="28" spans="1:4">
      <c r="A28" s="102">
        <v>5875100</v>
      </c>
      <c r="B28" s="106" t="s">
        <v>53</v>
      </c>
      <c r="C28">
        <f>IF('Change Request Form'!$N$34="",0,COUNTIF(B28,"*"&amp;'Change Request Form'!$N$34&amp;"*"))</f>
        <v>0</v>
      </c>
    </row>
    <row r="29" spans="1:4">
      <c r="A29" s="102">
        <v>5875021</v>
      </c>
      <c r="B29" s="106" t="s">
        <v>53</v>
      </c>
      <c r="C29">
        <f>IF('Change Request Form'!$N$34="",0,COUNTIF(B29,"*"&amp;'Change Request Form'!$N$34&amp;"*"))</f>
        <v>0</v>
      </c>
    </row>
    <row r="30" spans="1:4">
      <c r="A30" s="102">
        <v>6085</v>
      </c>
      <c r="B30" s="106" t="s">
        <v>54</v>
      </c>
      <c r="C30">
        <f>IF('Change Request Form'!$N$34="",0,COUNTIF(B30,"*"&amp;'Change Request Form'!$N$34&amp;"*"))</f>
        <v>0</v>
      </c>
    </row>
    <row r="31" spans="1:4">
      <c r="A31" s="102">
        <v>6291</v>
      </c>
      <c r="B31" s="106" t="s">
        <v>54</v>
      </c>
      <c r="C31">
        <f>IF('Change Request Form'!$N$34="",0,COUNTIF(B31,"*"&amp;'Change Request Form'!$N$34&amp;"*"))</f>
        <v>0</v>
      </c>
    </row>
    <row r="32" spans="1:4">
      <c r="A32" s="102">
        <v>6147</v>
      </c>
      <c r="B32" s="106" t="s">
        <v>54</v>
      </c>
      <c r="C32">
        <f>IF('Change Request Form'!$N$34="",0,COUNTIF(B32,"*"&amp;'Change Request Form'!$N$34&amp;"*"))</f>
        <v>0</v>
      </c>
    </row>
    <row r="33" spans="1:4">
      <c r="A33" s="102">
        <v>6766046</v>
      </c>
      <c r="B33" s="106" t="s">
        <v>55</v>
      </c>
      <c r="C33">
        <f>IF('Change Request Form'!$N$34="",0,COUNTIF(B33,"*"&amp;'Change Request Form'!$N$34&amp;"*"))</f>
        <v>0</v>
      </c>
    </row>
    <row r="34" spans="1:4">
      <c r="A34" s="102">
        <v>6766043</v>
      </c>
      <c r="B34" s="106" t="s">
        <v>55</v>
      </c>
      <c r="C34">
        <f>IF('Change Request Form'!$N$34="",0,COUNTIF(B34,"*"&amp;'Change Request Form'!$N$34&amp;"*"))</f>
        <v>0</v>
      </c>
    </row>
    <row r="35" spans="1:4">
      <c r="A35" s="102">
        <v>10261039</v>
      </c>
      <c r="B35" s="106" t="s">
        <v>56</v>
      </c>
      <c r="C35">
        <f>IF('Change Request Form'!$N$34="",0,COUNTIF(B35,"*"&amp;'Change Request Form'!$N$34&amp;"*"))</f>
        <v>0</v>
      </c>
    </row>
    <row r="36" spans="1:4">
      <c r="A36" s="102">
        <v>18464003</v>
      </c>
      <c r="B36" s="106" t="s">
        <v>57</v>
      </c>
      <c r="C36">
        <f>IF('Change Request Form'!$N$34="",0,COUNTIF(B36,"*"&amp;'Change Request Form'!$N$34&amp;"*"))</f>
        <v>0</v>
      </c>
    </row>
    <row r="37" spans="1:4">
      <c r="A37" s="102">
        <v>15264000</v>
      </c>
      <c r="B37" s="106" t="s">
        <v>58</v>
      </c>
      <c r="C37">
        <f>IF('Change Request Form'!$N$34="",0,COUNTIF(B37,"*"&amp;'Change Request Form'!$N$34&amp;"*"))</f>
        <v>0</v>
      </c>
    </row>
    <row r="38" spans="1:4">
      <c r="A38" s="102">
        <v>15288000</v>
      </c>
      <c r="B38" s="106" t="s">
        <v>58</v>
      </c>
      <c r="C38">
        <f>IF('Change Request Form'!$N$34="",0,COUNTIF(B38,"*"&amp;'Change Request Form'!$N$34&amp;"*"))</f>
        <v>0</v>
      </c>
    </row>
    <row r="39" spans="1:4">
      <c r="A39" s="102">
        <v>163914</v>
      </c>
      <c r="B39" s="106" t="s">
        <v>59</v>
      </c>
      <c r="C39">
        <f>IF('Change Request Form'!$N$34="",0,COUNTIF(B39,"*"&amp;'Change Request Form'!$N$34&amp;"*"))</f>
        <v>0</v>
      </c>
    </row>
    <row r="40" spans="1:4">
      <c r="A40" s="102">
        <v>163917</v>
      </c>
      <c r="B40" s="106" t="s">
        <v>59</v>
      </c>
      <c r="C40">
        <f>IF('Change Request Form'!$N$34="",0,COUNTIF(B40,"*"&amp;'Change Request Form'!$N$34&amp;"*"))</f>
        <v>0</v>
      </c>
    </row>
    <row r="41" spans="1:4">
      <c r="A41" s="102">
        <v>6691853</v>
      </c>
      <c r="B41" s="106" t="s">
        <v>60</v>
      </c>
      <c r="C41">
        <f>IF('Change Request Form'!$N$34="",0,COUNTIF(B41,"*"&amp;'Change Request Form'!$N$34&amp;"*"))</f>
        <v>0</v>
      </c>
    </row>
    <row r="42" spans="1:4">
      <c r="A42" s="102">
        <v>6691854</v>
      </c>
      <c r="B42" s="106" t="s">
        <v>60</v>
      </c>
      <c r="C42">
        <f>IF('Change Request Form'!$N$34="",0,COUNTIF(B42,"*"&amp;'Change Request Form'!$N$34&amp;"*"))</f>
        <v>0</v>
      </c>
    </row>
    <row r="43" spans="1:4">
      <c r="A43" s="102">
        <v>5582227</v>
      </c>
      <c r="B43" s="106" t="s">
        <v>61</v>
      </c>
      <c r="C43">
        <f>IF('Change Request Form'!$N$34="",0,COUNTIF(B43,"*"&amp;'Change Request Form'!$N$34&amp;"*"))</f>
        <v>0</v>
      </c>
    </row>
    <row r="44" spans="1:4">
      <c r="A44" s="102">
        <v>5582228</v>
      </c>
      <c r="B44" s="106" t="s">
        <v>61</v>
      </c>
      <c r="C44">
        <f>IF('Change Request Form'!$N$34="",0,COUNTIF(B44,"*"&amp;'Change Request Form'!$N$34&amp;"*"))</f>
        <v>0</v>
      </c>
    </row>
    <row r="45" spans="1:4">
      <c r="A45" s="102">
        <v>5582248</v>
      </c>
      <c r="B45" s="106" t="s">
        <v>62</v>
      </c>
      <c r="C45">
        <f>IF('Change Request Form'!$N$34="",0,COUNTIF(B45,"*"&amp;'Change Request Form'!$N$34&amp;"*"))</f>
        <v>0</v>
      </c>
      <c r="D45" s="91">
        <v>1</v>
      </c>
    </row>
    <row r="46" spans="1:4">
      <c r="A46" s="102">
        <v>10638021</v>
      </c>
      <c r="B46" s="106" t="s">
        <v>63</v>
      </c>
      <c r="C46">
        <f>IF('Change Request Form'!$N$34="",0,COUNTIF(B46,"*"&amp;'Change Request Form'!$N$34&amp;"*"))</f>
        <v>0</v>
      </c>
    </row>
    <row r="47" spans="1:4">
      <c r="A47" s="102">
        <v>5582249</v>
      </c>
      <c r="B47" s="106" t="s">
        <v>63</v>
      </c>
      <c r="C47">
        <f>IF('Change Request Form'!$N$34="",0,COUNTIF(B47,"*"&amp;'Change Request Form'!$N$34&amp;"*"))</f>
        <v>0</v>
      </c>
    </row>
    <row r="48" spans="1:4">
      <c r="A48" s="102">
        <v>289568</v>
      </c>
      <c r="B48" s="106" t="s">
        <v>64</v>
      </c>
      <c r="C48">
        <f>IF('Change Request Form'!$N$34="",0,COUNTIF(B48,"*"&amp;'Change Request Form'!$N$34&amp;"*"))</f>
        <v>0</v>
      </c>
      <c r="D48" s="91">
        <v>1</v>
      </c>
    </row>
    <row r="49" spans="1:4">
      <c r="A49" s="102">
        <v>10638023</v>
      </c>
      <c r="B49" s="106" t="s">
        <v>65</v>
      </c>
      <c r="C49">
        <f>IF('Change Request Form'!$N$34="",0,COUNTIF(B49,"*"&amp;'Change Request Form'!$N$34&amp;"*"))</f>
        <v>0</v>
      </c>
      <c r="D49" s="91">
        <v>1</v>
      </c>
    </row>
    <row r="50" spans="1:4">
      <c r="A50" s="102">
        <v>10638026</v>
      </c>
      <c r="B50" s="106" t="s">
        <v>65</v>
      </c>
      <c r="C50">
        <f>IF('Change Request Form'!$N$34="",0,COUNTIF(B50,"*"&amp;'Change Request Form'!$N$34&amp;"*"))</f>
        <v>0</v>
      </c>
      <c r="D50" s="91">
        <v>1</v>
      </c>
    </row>
    <row r="51" spans="1:4">
      <c r="A51" s="102">
        <v>166496</v>
      </c>
      <c r="B51" s="106" t="s">
        <v>66</v>
      </c>
      <c r="C51">
        <f>IF('Change Request Form'!$N$34="",0,COUNTIF(B51,"*"&amp;'Change Request Form'!$N$34&amp;"*"))</f>
        <v>0</v>
      </c>
      <c r="D51" s="91">
        <v>1</v>
      </c>
    </row>
    <row r="52" spans="1:4">
      <c r="A52" s="102">
        <v>7153124</v>
      </c>
      <c r="B52" s="106" t="s">
        <v>67</v>
      </c>
      <c r="C52">
        <f>IF('Change Request Form'!$N$34="",0,COUNTIF(B52,"*"&amp;'Change Request Form'!$N$34&amp;"*"))</f>
        <v>0</v>
      </c>
    </row>
    <row r="53" spans="1:4">
      <c r="A53" s="102">
        <v>15283004</v>
      </c>
      <c r="B53" s="106" t="s">
        <v>68</v>
      </c>
      <c r="C53">
        <f>IF('Change Request Form'!$N$34="",0,COUNTIF(B53,"*"&amp;'Change Request Form'!$N$34&amp;"*"))</f>
        <v>0</v>
      </c>
      <c r="D53" s="91">
        <v>1</v>
      </c>
    </row>
    <row r="54" spans="1:4">
      <c r="A54" s="102">
        <v>15282000</v>
      </c>
      <c r="B54" s="106" t="s">
        <v>69</v>
      </c>
      <c r="C54">
        <f>IF('Change Request Form'!$N$34="",0,COUNTIF(B54,"*"&amp;'Change Request Form'!$N$34&amp;"*"))</f>
        <v>0</v>
      </c>
      <c r="D54" s="91">
        <v>1</v>
      </c>
    </row>
    <row r="55" spans="1:4">
      <c r="A55" s="102">
        <v>5749031</v>
      </c>
      <c r="B55" s="106" t="s">
        <v>70</v>
      </c>
      <c r="C55">
        <f>IF('Change Request Form'!$N$34="",0,COUNTIF(B55,"*"&amp;'Change Request Form'!$N$34&amp;"*"))</f>
        <v>0</v>
      </c>
    </row>
    <row r="56" spans="1:4">
      <c r="A56" s="102">
        <v>5749032</v>
      </c>
      <c r="B56" s="106" t="s">
        <v>70</v>
      </c>
      <c r="C56">
        <f>IF('Change Request Form'!$N$34="",0,COUNTIF(B56,"*"&amp;'Change Request Form'!$N$34&amp;"*"))</f>
        <v>0</v>
      </c>
    </row>
    <row r="57" spans="1:4">
      <c r="A57" s="102">
        <v>2687</v>
      </c>
      <c r="B57" s="106" t="s">
        <v>71</v>
      </c>
      <c r="C57">
        <f>IF('Change Request Form'!$N$34="",0,COUNTIF(B57,"*"&amp;'Change Request Form'!$N$34&amp;"*"))</f>
        <v>0</v>
      </c>
    </row>
    <row r="58" spans="1:4">
      <c r="A58" s="102">
        <v>2688</v>
      </c>
      <c r="B58" s="106" t="s">
        <v>71</v>
      </c>
      <c r="C58">
        <f>IF('Change Request Form'!$N$34="",0,COUNTIF(B58,"*"&amp;'Change Request Form'!$N$34&amp;"*"))</f>
        <v>0</v>
      </c>
    </row>
    <row r="59" spans="1:4">
      <c r="A59" s="102">
        <v>3550</v>
      </c>
      <c r="B59" s="106" t="s">
        <v>72</v>
      </c>
      <c r="C59">
        <f>IF('Change Request Form'!$N$34="",0,COUNTIF(B59,"*"&amp;'Change Request Form'!$N$34&amp;"*"))</f>
        <v>0</v>
      </c>
    </row>
    <row r="60" spans="1:4">
      <c r="A60" s="102">
        <v>3552</v>
      </c>
      <c r="B60" s="106" t="s">
        <v>72</v>
      </c>
      <c r="C60">
        <f>IF('Change Request Form'!$N$34="",0,COUNTIF(B60,"*"&amp;'Change Request Form'!$N$34&amp;"*"))</f>
        <v>0</v>
      </c>
    </row>
    <row r="61" spans="1:4">
      <c r="A61" s="102">
        <v>12060019</v>
      </c>
      <c r="B61" s="106" t="s">
        <v>73</v>
      </c>
      <c r="C61">
        <f>IF('Change Request Form'!$N$34="",0,COUNTIF(B61,"*"&amp;'Change Request Form'!$N$34&amp;"*"))</f>
        <v>0</v>
      </c>
    </row>
    <row r="62" spans="1:4">
      <c r="A62" s="102">
        <v>12060018</v>
      </c>
      <c r="B62" s="106" t="s">
        <v>73</v>
      </c>
      <c r="C62">
        <f>IF('Change Request Form'!$N$34="",0,COUNTIF(B62,"*"&amp;'Change Request Form'!$N$34&amp;"*"))</f>
        <v>0</v>
      </c>
    </row>
    <row r="63" spans="1:4">
      <c r="A63" s="102">
        <v>17581002</v>
      </c>
      <c r="B63" s="106" t="s">
        <v>74</v>
      </c>
      <c r="C63">
        <f>IF('Change Request Form'!$N$34="",0,COUNTIF(B63,"*"&amp;'Change Request Form'!$N$34&amp;"*"))</f>
        <v>0</v>
      </c>
    </row>
    <row r="64" spans="1:4">
      <c r="A64" s="102">
        <v>17581001</v>
      </c>
      <c r="B64" s="106" t="s">
        <v>74</v>
      </c>
      <c r="C64">
        <f>IF('Change Request Form'!$N$34="",0,COUNTIF(B64,"*"&amp;'Change Request Form'!$N$34&amp;"*"))</f>
        <v>0</v>
      </c>
    </row>
    <row r="65" spans="1:4">
      <c r="A65" s="102">
        <v>2793109</v>
      </c>
      <c r="B65" s="106" t="s">
        <v>75</v>
      </c>
      <c r="C65">
        <f>IF('Change Request Form'!$N$34="",0,COUNTIF(B65,"*"&amp;'Change Request Form'!$N$34&amp;"*"))</f>
        <v>0</v>
      </c>
    </row>
    <row r="66" spans="1:4">
      <c r="A66" s="102">
        <v>2793113</v>
      </c>
      <c r="B66" s="106" t="s">
        <v>75</v>
      </c>
      <c r="C66">
        <f>IF('Change Request Form'!$N$34="",0,COUNTIF(B66,"*"&amp;'Change Request Form'!$N$34&amp;"*"))</f>
        <v>0</v>
      </c>
    </row>
    <row r="67" spans="1:4">
      <c r="A67" s="102">
        <v>1795</v>
      </c>
      <c r="B67" s="106" t="s">
        <v>76</v>
      </c>
      <c r="C67">
        <f>IF('Change Request Form'!$N$34="",0,COUNTIF(B67,"*"&amp;'Change Request Form'!$N$34&amp;"*"))</f>
        <v>0</v>
      </c>
    </row>
    <row r="68" spans="1:4">
      <c r="A68" s="102">
        <v>1794</v>
      </c>
      <c r="B68" s="106" t="s">
        <v>76</v>
      </c>
      <c r="C68">
        <f>IF('Change Request Form'!$N$34="",0,COUNTIF(B68,"*"&amp;'Change Request Form'!$N$34&amp;"*"))</f>
        <v>0</v>
      </c>
    </row>
    <row r="69" spans="1:4">
      <c r="A69" s="102">
        <v>35012</v>
      </c>
      <c r="B69" s="106" t="s">
        <v>77</v>
      </c>
      <c r="C69">
        <f>IF('Change Request Form'!$N$34="",0,COUNTIF(B69,"*"&amp;'Change Request Form'!$N$34&amp;"*"))</f>
        <v>0</v>
      </c>
    </row>
    <row r="70" spans="1:4">
      <c r="A70" s="102">
        <v>2832056</v>
      </c>
      <c r="B70" s="106" t="s">
        <v>78</v>
      </c>
      <c r="C70">
        <f>IF('Change Request Form'!$N$34="",0,COUNTIF(B70,"*"&amp;'Change Request Form'!$N$34&amp;"*"))</f>
        <v>0</v>
      </c>
    </row>
    <row r="71" spans="1:4">
      <c r="A71" s="102">
        <v>6755102</v>
      </c>
      <c r="B71" s="106" t="s">
        <v>79</v>
      </c>
      <c r="C71">
        <f>IF('Change Request Form'!$N$34="",0,COUNTIF(B71,"*"&amp;'Change Request Form'!$N$34&amp;"*"))</f>
        <v>0</v>
      </c>
    </row>
    <row r="72" spans="1:4">
      <c r="A72" s="102">
        <v>2937128</v>
      </c>
      <c r="B72" s="106" t="s">
        <v>80</v>
      </c>
      <c r="C72">
        <f>IF('Change Request Form'!$N$34="",0,COUNTIF(B72,"*"&amp;'Change Request Form'!$N$34&amp;"*"))</f>
        <v>1</v>
      </c>
      <c r="D72" s="91">
        <v>1</v>
      </c>
    </row>
    <row r="73" spans="1:4">
      <c r="A73" s="102">
        <v>35105</v>
      </c>
      <c r="B73" s="106" t="s">
        <v>81</v>
      </c>
      <c r="C73">
        <f>IF('Change Request Form'!$N$34="",0,COUNTIF(B73,"*"&amp;'Change Request Form'!$N$34&amp;"*"))</f>
        <v>0</v>
      </c>
    </row>
    <row r="74" spans="1:4">
      <c r="A74" s="102">
        <v>35016</v>
      </c>
      <c r="B74" s="106" t="s">
        <v>81</v>
      </c>
      <c r="C74">
        <f>IF('Change Request Form'!$N$34="",0,COUNTIF(B74,"*"&amp;'Change Request Form'!$N$34&amp;"*"))</f>
        <v>0</v>
      </c>
    </row>
    <row r="75" spans="1:4">
      <c r="A75" s="102">
        <v>1219101</v>
      </c>
      <c r="B75" s="106" t="s">
        <v>82</v>
      </c>
      <c r="C75">
        <f>IF('Change Request Form'!$N$34="",0,COUNTIF(B75,"*"&amp;'Change Request Form'!$N$34&amp;"*"))</f>
        <v>0</v>
      </c>
      <c r="D75" s="91">
        <v>1</v>
      </c>
    </row>
    <row r="76" spans="1:4">
      <c r="A76" s="102">
        <v>111503</v>
      </c>
      <c r="B76" s="106" t="s">
        <v>83</v>
      </c>
      <c r="C76">
        <f>IF('Change Request Form'!$N$34="",0,COUNTIF(B76,"*"&amp;'Change Request Form'!$N$34&amp;"*"))</f>
        <v>0</v>
      </c>
    </row>
    <row r="77" spans="1:4">
      <c r="A77" s="102">
        <v>111515</v>
      </c>
      <c r="B77" s="106" t="s">
        <v>83</v>
      </c>
      <c r="C77">
        <f>IF('Change Request Form'!$N$34="",0,COUNTIF(B77,"*"&amp;'Change Request Form'!$N$34&amp;"*"))</f>
        <v>0</v>
      </c>
    </row>
    <row r="78" spans="1:4">
      <c r="A78" s="102">
        <v>111707</v>
      </c>
      <c r="B78" s="106" t="s">
        <v>83</v>
      </c>
      <c r="C78">
        <f>IF('Change Request Form'!$N$34="",0,COUNTIF(B78,"*"&amp;'Change Request Form'!$N$34&amp;"*"))</f>
        <v>0</v>
      </c>
    </row>
    <row r="79" spans="1:4">
      <c r="A79" s="102">
        <v>111512</v>
      </c>
      <c r="B79" s="106" t="s">
        <v>83</v>
      </c>
      <c r="C79">
        <f>IF('Change Request Form'!$N$34="",0,COUNTIF(B79,"*"&amp;'Change Request Form'!$N$34&amp;"*"))</f>
        <v>0</v>
      </c>
    </row>
    <row r="80" spans="1:4">
      <c r="A80" s="102">
        <v>2991176</v>
      </c>
      <c r="B80" s="106" t="s">
        <v>84</v>
      </c>
      <c r="C80">
        <f>IF('Change Request Form'!$N$34="",0,COUNTIF(B80,"*"&amp;'Change Request Form'!$N$34&amp;"*"))</f>
        <v>0</v>
      </c>
    </row>
    <row r="81" spans="1:4">
      <c r="A81" s="102">
        <v>2991145</v>
      </c>
      <c r="B81" s="106" t="s">
        <v>84</v>
      </c>
      <c r="C81">
        <f>IF('Change Request Form'!$N$34="",0,COUNTIF(B81,"*"&amp;'Change Request Form'!$N$34&amp;"*"))</f>
        <v>0</v>
      </c>
    </row>
    <row r="82" spans="1:4">
      <c r="A82" s="102">
        <v>2991164</v>
      </c>
      <c r="B82" s="106" t="s">
        <v>84</v>
      </c>
      <c r="C82">
        <f>IF('Change Request Form'!$N$34="",0,COUNTIF(B82,"*"&amp;'Change Request Form'!$N$34&amp;"*"))</f>
        <v>0</v>
      </c>
    </row>
    <row r="83" spans="1:4">
      <c r="A83" s="102">
        <v>2991143</v>
      </c>
      <c r="B83" s="106" t="s">
        <v>84</v>
      </c>
      <c r="C83">
        <f>IF('Change Request Form'!$N$34="",0,COUNTIF(B83,"*"&amp;'Change Request Form'!$N$34&amp;"*"))</f>
        <v>0</v>
      </c>
    </row>
    <row r="84" spans="1:4">
      <c r="A84" s="102">
        <v>5664156</v>
      </c>
      <c r="B84" s="106" t="s">
        <v>85</v>
      </c>
      <c r="C84">
        <f>IF('Change Request Form'!$N$34="",0,COUNTIF(B84,"*"&amp;'Change Request Form'!$N$34&amp;"*"))</f>
        <v>0</v>
      </c>
      <c r="D84" s="91">
        <v>1</v>
      </c>
    </row>
    <row r="85" spans="1:4">
      <c r="A85" s="102">
        <v>5664131</v>
      </c>
      <c r="B85" s="106" t="s">
        <v>85</v>
      </c>
      <c r="C85">
        <f>IF('Change Request Form'!$N$34="",0,COUNTIF(B85,"*"&amp;'Change Request Form'!$N$34&amp;"*"))</f>
        <v>0</v>
      </c>
      <c r="D85" s="91">
        <v>1</v>
      </c>
    </row>
    <row r="86" spans="1:4">
      <c r="A86" s="107">
        <v>5664156</v>
      </c>
      <c r="B86" s="106" t="s">
        <v>86</v>
      </c>
      <c r="C86">
        <f>IF('Change Request Form'!$N$34="",0,COUNTIF(B86,"*"&amp;'Change Request Form'!$N$34&amp;"*"))</f>
        <v>0</v>
      </c>
      <c r="D86" s="91">
        <v>1</v>
      </c>
    </row>
    <row r="87" spans="1:4" ht="16.8">
      <c r="A87" s="108">
        <v>5664156</v>
      </c>
      <c r="B87" s="109" t="s">
        <v>87</v>
      </c>
      <c r="C87">
        <f>IF('Change Request Form'!$N$34="",0,COUNTIF(B87,"*"&amp;'Change Request Form'!$N$34&amp;"*"))</f>
        <v>0</v>
      </c>
      <c r="D87" s="91">
        <v>1</v>
      </c>
    </row>
    <row r="88" spans="1:4">
      <c r="A88" s="102">
        <v>232527</v>
      </c>
      <c r="B88" s="106" t="s">
        <v>88</v>
      </c>
      <c r="C88">
        <f>IF('Change Request Form'!$N$34="",0,COUNTIF(B88,"*"&amp;'Change Request Form'!$N$34&amp;"*"))</f>
        <v>0</v>
      </c>
    </row>
    <row r="89" spans="1:4">
      <c r="A89" s="102">
        <v>232769</v>
      </c>
      <c r="B89" s="106" t="s">
        <v>88</v>
      </c>
      <c r="C89">
        <f>IF('Change Request Form'!$N$34="",0,COUNTIF(B89,"*"&amp;'Change Request Form'!$N$34&amp;"*"))</f>
        <v>0</v>
      </c>
    </row>
    <row r="90" spans="1:4">
      <c r="A90" s="102">
        <v>232521</v>
      </c>
      <c r="B90" s="106" t="s">
        <v>88</v>
      </c>
      <c r="C90">
        <f>IF('Change Request Form'!$N$34="",0,COUNTIF(B90,"*"&amp;'Change Request Form'!$N$34&amp;"*"))</f>
        <v>0</v>
      </c>
    </row>
    <row r="91" spans="1:4">
      <c r="A91" s="102">
        <v>4396108</v>
      </c>
      <c r="B91" s="106" t="s">
        <v>89</v>
      </c>
      <c r="C91">
        <f>IF('Change Request Form'!$N$34="",0,COUNTIF(B91,"*"&amp;'Change Request Form'!$N$34&amp;"*"))</f>
        <v>0</v>
      </c>
    </row>
    <row r="92" spans="1:4">
      <c r="A92" s="102">
        <v>3772078</v>
      </c>
      <c r="B92" s="106" t="s">
        <v>90</v>
      </c>
      <c r="C92">
        <f>IF('Change Request Form'!$N$34="",0,COUNTIF(B92,"*"&amp;'Change Request Form'!$N$34&amp;"*"))</f>
        <v>0</v>
      </c>
    </row>
    <row r="93" spans="1:4">
      <c r="A93" s="102">
        <v>3601184</v>
      </c>
      <c r="B93" s="106" t="s">
        <v>91</v>
      </c>
      <c r="C93">
        <f>IF('Change Request Form'!$N$34="",0,COUNTIF(B93,"*"&amp;'Change Request Form'!$N$34&amp;"*"))</f>
        <v>0</v>
      </c>
    </row>
    <row r="94" spans="1:4">
      <c r="A94" s="102">
        <v>3601182</v>
      </c>
      <c r="B94" s="106" t="s">
        <v>91</v>
      </c>
      <c r="C94">
        <f>IF('Change Request Form'!$N$34="",0,COUNTIF(B94,"*"&amp;'Change Request Form'!$N$34&amp;"*"))</f>
        <v>0</v>
      </c>
    </row>
    <row r="95" spans="1:4">
      <c r="A95" s="102">
        <v>12487001</v>
      </c>
      <c r="B95" s="106" t="s">
        <v>92</v>
      </c>
      <c r="C95">
        <f>IF('Change Request Form'!$N$34="",0,COUNTIF(B95,"*"&amp;'Change Request Form'!$N$34&amp;"*"))</f>
        <v>0</v>
      </c>
    </row>
    <row r="96" spans="1:4">
      <c r="A96" s="102">
        <v>3214019</v>
      </c>
      <c r="B96" s="106" t="s">
        <v>93</v>
      </c>
      <c r="C96">
        <f>IF('Change Request Form'!$N$34="",0,COUNTIF(B96,"*"&amp;'Change Request Form'!$N$34&amp;"*"))</f>
        <v>0</v>
      </c>
    </row>
    <row r="97" spans="1:4">
      <c r="A97" s="102">
        <v>8768010</v>
      </c>
      <c r="B97" s="106" t="s">
        <v>94</v>
      </c>
      <c r="C97">
        <f>IF('Change Request Form'!$N$34="",0,COUNTIF(B97,"*"&amp;'Change Request Form'!$N$34&amp;"*"))</f>
        <v>0</v>
      </c>
      <c r="D97" s="91">
        <v>1</v>
      </c>
    </row>
    <row r="98" spans="1:4">
      <c r="A98" s="102">
        <v>8768006</v>
      </c>
      <c r="B98" s="106" t="s">
        <v>94</v>
      </c>
      <c r="C98">
        <f>IF('Change Request Form'!$N$34="",0,COUNTIF(B98,"*"&amp;'Change Request Form'!$N$34&amp;"*"))</f>
        <v>0</v>
      </c>
      <c r="D98" s="91">
        <v>1</v>
      </c>
    </row>
    <row r="99" spans="1:4">
      <c r="A99" s="102">
        <v>7070043</v>
      </c>
      <c r="B99" s="106" t="s">
        <v>95</v>
      </c>
      <c r="C99">
        <f>IF('Change Request Form'!$N$34="",0,COUNTIF(B99,"*"&amp;'Change Request Form'!$N$34&amp;"*"))</f>
        <v>0</v>
      </c>
      <c r="D99" s="91">
        <v>1</v>
      </c>
    </row>
    <row r="100" spans="1:4">
      <c r="A100" s="102">
        <v>7070036</v>
      </c>
      <c r="B100" s="106" t="s">
        <v>95</v>
      </c>
      <c r="C100">
        <f>IF('Change Request Form'!$N$34="",0,COUNTIF(B100,"*"&amp;'Change Request Form'!$N$34&amp;"*"))</f>
        <v>0</v>
      </c>
      <c r="D100" s="91">
        <v>1</v>
      </c>
    </row>
    <row r="101" spans="1:4">
      <c r="A101" s="102">
        <v>116239</v>
      </c>
      <c r="B101" s="106" t="s">
        <v>95</v>
      </c>
      <c r="C101">
        <f>IF('Change Request Form'!$N$34="",0,COUNTIF(B101,"*"&amp;'Change Request Form'!$N$34&amp;"*"))</f>
        <v>0</v>
      </c>
      <c r="D101" s="91">
        <v>1</v>
      </c>
    </row>
    <row r="102" spans="1:4">
      <c r="A102" s="102">
        <v>863113</v>
      </c>
      <c r="B102" s="106" t="s">
        <v>96</v>
      </c>
      <c r="C102">
        <f>IF('Change Request Form'!$N$34="",0,COUNTIF(B102,"*"&amp;'Change Request Form'!$N$34&amp;"*"))</f>
        <v>0</v>
      </c>
    </row>
    <row r="103" spans="1:4">
      <c r="A103" s="102">
        <v>8530019</v>
      </c>
      <c r="B103" s="106" t="s">
        <v>97</v>
      </c>
      <c r="C103">
        <f>IF('Change Request Form'!$N$34="",0,COUNTIF(B103,"*"&amp;'Change Request Form'!$N$34&amp;"*"))</f>
        <v>0</v>
      </c>
    </row>
    <row r="104" spans="1:4">
      <c r="A104" s="102">
        <v>10386006</v>
      </c>
      <c r="B104" s="106" t="s">
        <v>98</v>
      </c>
      <c r="C104">
        <f>IF('Change Request Form'!$N$34="",0,COUNTIF(B104,"*"&amp;'Change Request Form'!$N$34&amp;"*"))</f>
        <v>0</v>
      </c>
    </row>
    <row r="105" spans="1:4">
      <c r="A105" s="102">
        <v>6780037</v>
      </c>
      <c r="B105" s="106" t="s">
        <v>99</v>
      </c>
      <c r="C105">
        <f>IF('Change Request Form'!$N$34="",0,COUNTIF(B105,"*"&amp;'Change Request Form'!$N$34&amp;"*"))</f>
        <v>0</v>
      </c>
    </row>
    <row r="106" spans="1:4">
      <c r="A106" s="102">
        <v>15427000</v>
      </c>
      <c r="B106" s="106" t="s">
        <v>100</v>
      </c>
      <c r="C106">
        <f>IF('Change Request Form'!$N$34="",0,COUNTIF(B106,"*"&amp;'Change Request Form'!$N$34&amp;"*"))</f>
        <v>0</v>
      </c>
      <c r="D106" s="91">
        <v>1</v>
      </c>
    </row>
    <row r="107" spans="1:4">
      <c r="A107" s="102">
        <v>4335064</v>
      </c>
      <c r="B107" s="106" t="s">
        <v>101</v>
      </c>
      <c r="C107">
        <f>IF('Change Request Form'!$N$34="",0,COUNTIF(B107,"*"&amp;'Change Request Form'!$N$34&amp;"*"))</f>
        <v>0</v>
      </c>
    </row>
    <row r="108" spans="1:4">
      <c r="A108" s="102">
        <v>8895003</v>
      </c>
      <c r="B108" s="106" t="s">
        <v>102</v>
      </c>
      <c r="C108">
        <f>IF('Change Request Form'!$N$34="",0,COUNTIF(B108,"*"&amp;'Change Request Form'!$N$34&amp;"*"))</f>
        <v>0</v>
      </c>
    </row>
    <row r="109" spans="1:4">
      <c r="A109" s="102">
        <v>13522005</v>
      </c>
      <c r="B109" s="106" t="s">
        <v>103</v>
      </c>
      <c r="C109">
        <f>IF('Change Request Form'!$N$34="",0,COUNTIF(B109,"*"&amp;'Change Request Form'!$N$34&amp;"*"))</f>
        <v>0</v>
      </c>
    </row>
    <row r="110" spans="1:4">
      <c r="A110" s="102">
        <v>7422106</v>
      </c>
      <c r="B110" s="106" t="s">
        <v>104</v>
      </c>
      <c r="C110">
        <f>IF('Change Request Form'!$N$34="",0,COUNTIF(B110,"*"&amp;'Change Request Form'!$N$34&amp;"*"))</f>
        <v>0</v>
      </c>
    </row>
    <row r="111" spans="1:4">
      <c r="A111" s="102">
        <v>2342038</v>
      </c>
      <c r="B111" s="106" t="s">
        <v>105</v>
      </c>
      <c r="C111">
        <f>IF('Change Request Form'!$N$34="",0,COUNTIF(B111,"*"&amp;'Change Request Form'!$N$34&amp;"*"))</f>
        <v>0</v>
      </c>
    </row>
    <row r="112" spans="1:4">
      <c r="A112" s="102">
        <v>7422108</v>
      </c>
      <c r="B112" s="106" t="s">
        <v>106</v>
      </c>
      <c r="C112">
        <f>IF('Change Request Form'!$N$34="",0,COUNTIF(B112,"*"&amp;'Change Request Form'!$N$34&amp;"*"))</f>
        <v>0</v>
      </c>
    </row>
    <row r="113" spans="1:4">
      <c r="A113" s="102">
        <v>5792019</v>
      </c>
      <c r="B113" s="106" t="s">
        <v>107</v>
      </c>
      <c r="C113">
        <f>IF('Change Request Form'!$N$34="",0,COUNTIF(B113,"*"&amp;'Change Request Form'!$N$34&amp;"*"))</f>
        <v>0</v>
      </c>
    </row>
    <row r="114" spans="1:4">
      <c r="A114" s="102">
        <v>7422107</v>
      </c>
      <c r="B114" s="106" t="s">
        <v>108</v>
      </c>
      <c r="C114">
        <f>IF('Change Request Form'!$N$34="",0,COUNTIF(B114,"*"&amp;'Change Request Form'!$N$34&amp;"*"))</f>
        <v>0</v>
      </c>
    </row>
    <row r="115" spans="1:4">
      <c r="A115" s="102">
        <v>6755100</v>
      </c>
      <c r="B115" s="106" t="s">
        <v>109</v>
      </c>
      <c r="C115">
        <f>IF('Change Request Form'!$N$34="",0,COUNTIF(B115,"*"&amp;'Change Request Form'!$N$34&amp;"*"))</f>
        <v>1</v>
      </c>
      <c r="D115" s="91">
        <v>1</v>
      </c>
    </row>
    <row r="116" spans="1:4">
      <c r="A116" s="102">
        <v>2630100</v>
      </c>
      <c r="B116" s="106" t="s">
        <v>110</v>
      </c>
      <c r="C116">
        <f>IF('Change Request Form'!$N$34="",0,COUNTIF(B116,"*"&amp;'Change Request Form'!$N$34&amp;"*"))</f>
        <v>1</v>
      </c>
      <c r="D116" s="91">
        <v>1</v>
      </c>
    </row>
    <row r="117" spans="1:4">
      <c r="A117" s="102">
        <v>57203</v>
      </c>
      <c r="B117" s="106" t="s">
        <v>111</v>
      </c>
      <c r="C117">
        <f>IF('Change Request Form'!$N$34="",0,COUNTIF(B117,"*"&amp;'Change Request Form'!$N$34&amp;"*"))</f>
        <v>1</v>
      </c>
      <c r="D117" s="91">
        <v>1</v>
      </c>
    </row>
    <row r="118" spans="1:4">
      <c r="A118" s="102">
        <v>5099102</v>
      </c>
      <c r="B118" s="106" t="s">
        <v>112</v>
      </c>
      <c r="C118">
        <f>IF('Change Request Form'!$N$34="",0,COUNTIF(B118,"*"&amp;'Change Request Form'!$N$34&amp;"*"))</f>
        <v>1</v>
      </c>
      <c r="D118" s="91">
        <v>1</v>
      </c>
    </row>
    <row r="119" spans="1:4">
      <c r="A119" s="102">
        <v>3041025</v>
      </c>
      <c r="B119" s="106" t="s">
        <v>113</v>
      </c>
      <c r="C119">
        <f>IF('Change Request Form'!$N$34="",0,COUNTIF(B119,"*"&amp;'Change Request Form'!$N$34&amp;"*"))</f>
        <v>0</v>
      </c>
    </row>
    <row r="120" spans="1:4">
      <c r="A120" s="102">
        <v>731711</v>
      </c>
      <c r="B120" s="106" t="s">
        <v>114</v>
      </c>
      <c r="C120">
        <f>IF('Change Request Form'!$N$34="",0,COUNTIF(B120,"*"&amp;'Change Request Form'!$N$34&amp;"*"))</f>
        <v>0</v>
      </c>
      <c r="D120" s="91">
        <v>1</v>
      </c>
    </row>
    <row r="121" spans="1:4">
      <c r="A121" s="102">
        <v>4617027</v>
      </c>
      <c r="B121" s="106" t="s">
        <v>115</v>
      </c>
      <c r="C121">
        <f>IF('Change Request Form'!$N$34="",0,COUNTIF(B121,"*"&amp;'Change Request Form'!$N$34&amp;"*"))</f>
        <v>0</v>
      </c>
    </row>
    <row r="122" spans="1:4">
      <c r="A122" s="102">
        <v>8271019</v>
      </c>
      <c r="B122" s="106" t="s">
        <v>116</v>
      </c>
      <c r="C122">
        <f>IF('Change Request Form'!$N$34="",0,COUNTIF(B122,"*"&amp;'Change Request Form'!$N$34&amp;"*"))</f>
        <v>0</v>
      </c>
    </row>
    <row r="123" spans="1:4">
      <c r="A123" s="102">
        <v>15821000</v>
      </c>
      <c r="B123" s="106" t="s">
        <v>117</v>
      </c>
      <c r="C123">
        <f>IF('Change Request Form'!$N$34="",0,COUNTIF(B123,"*"&amp;'Change Request Form'!$N$34&amp;"*"))</f>
        <v>0</v>
      </c>
    </row>
    <row r="124" spans="1:4">
      <c r="A124" s="102">
        <v>15822000</v>
      </c>
      <c r="B124" s="106" t="s">
        <v>118</v>
      </c>
      <c r="C124">
        <f>IF('Change Request Form'!$N$34="",0,COUNTIF(B124,"*"&amp;'Change Request Form'!$N$34&amp;"*"))</f>
        <v>0</v>
      </c>
    </row>
    <row r="125" spans="1:4">
      <c r="A125" s="102">
        <v>5148038</v>
      </c>
      <c r="B125" s="106" t="s">
        <v>119</v>
      </c>
      <c r="C125">
        <f>IF('Change Request Form'!$N$34="",0,COUNTIF(B125,"*"&amp;'Change Request Form'!$N$34&amp;"*"))</f>
        <v>0</v>
      </c>
    </row>
    <row r="126" spans="1:4">
      <c r="A126" s="102">
        <v>3557080</v>
      </c>
      <c r="B126" s="106" t="s">
        <v>120</v>
      </c>
      <c r="C126">
        <f>IF('Change Request Form'!$N$34="",0,COUNTIF(B126,"*"&amp;'Change Request Form'!$N$34&amp;"*"))</f>
        <v>0</v>
      </c>
    </row>
    <row r="127" spans="1:4">
      <c r="A127" s="102">
        <v>3388076</v>
      </c>
      <c r="B127" s="106" t="s">
        <v>121</v>
      </c>
      <c r="C127">
        <f>IF('Change Request Form'!$N$34="",0,COUNTIF(B127,"*"&amp;'Change Request Form'!$N$34&amp;"*"))</f>
        <v>0</v>
      </c>
      <c r="D127" s="91">
        <v>1</v>
      </c>
    </row>
    <row r="128" spans="1:4">
      <c r="A128" s="102">
        <v>6819026</v>
      </c>
      <c r="B128" s="106" t="s">
        <v>122</v>
      </c>
      <c r="C128">
        <f>IF('Change Request Form'!$N$34="",0,COUNTIF(B128,"*"&amp;'Change Request Form'!$N$34&amp;"*"))</f>
        <v>0</v>
      </c>
    </row>
    <row r="129" spans="1:3">
      <c r="A129" s="102">
        <v>14443001</v>
      </c>
      <c r="B129" s="106" t="s">
        <v>123</v>
      </c>
      <c r="C129">
        <f>IF('Change Request Form'!$N$34="",0,COUNTIF(B129,"*"&amp;'Change Request Form'!$N$34&amp;"*"))</f>
        <v>0</v>
      </c>
    </row>
    <row r="130" spans="1:3">
      <c r="A130" s="102">
        <v>13300</v>
      </c>
      <c r="B130" s="106" t="s">
        <v>124</v>
      </c>
      <c r="C130">
        <f>IF('Change Request Form'!$N$34="",0,COUNTIF(B130,"*"&amp;'Change Request Form'!$N$34&amp;"*"))</f>
        <v>0</v>
      </c>
    </row>
    <row r="131" spans="1:3">
      <c r="A131" s="102">
        <v>13314</v>
      </c>
      <c r="B131" s="106" t="s">
        <v>124</v>
      </c>
      <c r="C131">
        <f>IF('Change Request Form'!$N$34="",0,COUNTIF(B131,"*"&amp;'Change Request Form'!$N$34&amp;"*"))</f>
        <v>0</v>
      </c>
    </row>
    <row r="132" spans="1:3">
      <c r="A132" s="102">
        <v>16637001</v>
      </c>
      <c r="B132" s="106" t="s">
        <v>125</v>
      </c>
      <c r="C132">
        <f>IF('Change Request Form'!$N$34="",0,COUNTIF(B132,"*"&amp;'Change Request Form'!$N$34&amp;"*"))</f>
        <v>0</v>
      </c>
    </row>
    <row r="133" spans="1:3">
      <c r="A133" s="102">
        <v>5462012</v>
      </c>
      <c r="B133" s="106" t="s">
        <v>126</v>
      </c>
      <c r="C133">
        <f>IF('Change Request Form'!$N$34="",0,COUNTIF(B133,"*"&amp;'Change Request Form'!$N$34&amp;"*"))</f>
        <v>0</v>
      </c>
    </row>
    <row r="134" spans="1:3">
      <c r="A134" s="102">
        <v>1242414</v>
      </c>
      <c r="B134" s="106" t="s">
        <v>127</v>
      </c>
      <c r="C134">
        <f>IF('Change Request Form'!$N$34="",0,COUNTIF(B134,"*"&amp;'Change Request Form'!$N$34&amp;"*"))</f>
        <v>0</v>
      </c>
    </row>
    <row r="135" spans="1:3">
      <c r="A135" s="102">
        <v>1242434</v>
      </c>
      <c r="B135" s="106" t="s">
        <v>127</v>
      </c>
      <c r="C135">
        <f>IF('Change Request Form'!$N$34="",0,COUNTIF(B135,"*"&amp;'Change Request Form'!$N$34&amp;"*"))</f>
        <v>0</v>
      </c>
    </row>
    <row r="136" spans="1:3">
      <c r="A136" s="102">
        <v>1242436</v>
      </c>
      <c r="B136" s="106" t="s">
        <v>127</v>
      </c>
      <c r="C136">
        <f>IF('Change Request Form'!$N$34="",0,COUNTIF(B136,"*"&amp;'Change Request Form'!$N$34&amp;"*"))</f>
        <v>0</v>
      </c>
    </row>
    <row r="137" spans="1:3">
      <c r="A137" s="102">
        <v>1242437</v>
      </c>
      <c r="B137" s="106" t="s">
        <v>127</v>
      </c>
      <c r="C137">
        <f>IF('Change Request Form'!$N$34="",0,COUNTIF(B137,"*"&amp;'Change Request Form'!$N$34&amp;"*"))</f>
        <v>0</v>
      </c>
    </row>
    <row r="138" spans="1:3">
      <c r="A138" s="102">
        <v>1242410</v>
      </c>
      <c r="B138" s="106" t="s">
        <v>127</v>
      </c>
      <c r="C138">
        <f>IF('Change Request Form'!$N$34="",0,COUNTIF(B138,"*"&amp;'Change Request Form'!$N$34&amp;"*"))</f>
        <v>0</v>
      </c>
    </row>
    <row r="139" spans="1:3">
      <c r="A139" s="102">
        <v>3439324</v>
      </c>
      <c r="B139" s="106" t="s">
        <v>128</v>
      </c>
      <c r="C139">
        <f>IF('Change Request Form'!$N$34="",0,COUNTIF(B139,"*"&amp;'Change Request Form'!$N$34&amp;"*"))</f>
        <v>0</v>
      </c>
    </row>
    <row r="140" spans="1:3">
      <c r="A140" s="102">
        <v>3439210</v>
      </c>
      <c r="B140" s="106" t="s">
        <v>128</v>
      </c>
      <c r="C140">
        <f>IF('Change Request Form'!$N$34="",0,COUNTIF(B140,"*"&amp;'Change Request Form'!$N$34&amp;"*"))</f>
        <v>0</v>
      </c>
    </row>
    <row r="141" spans="1:3">
      <c r="A141" s="102">
        <v>4887030</v>
      </c>
      <c r="B141" s="106" t="s">
        <v>129</v>
      </c>
      <c r="C141">
        <f>IF('Change Request Form'!$N$34="",0,COUNTIF(B141,"*"&amp;'Change Request Form'!$N$34&amp;"*"))</f>
        <v>0</v>
      </c>
    </row>
    <row r="142" spans="1:3">
      <c r="A142" s="102">
        <v>407938</v>
      </c>
      <c r="B142" s="106" t="s">
        <v>130</v>
      </c>
      <c r="C142">
        <f>IF('Change Request Form'!$N$34="",0,COUNTIF(B142,"*"&amp;'Change Request Form'!$N$34&amp;"*"))</f>
        <v>0</v>
      </c>
    </row>
    <row r="143" spans="1:3">
      <c r="A143" s="102">
        <v>407952</v>
      </c>
      <c r="B143" s="106" t="s">
        <v>130</v>
      </c>
      <c r="C143">
        <f>IF('Change Request Form'!$N$34="",0,COUNTIF(B143,"*"&amp;'Change Request Form'!$N$34&amp;"*"))</f>
        <v>0</v>
      </c>
    </row>
    <row r="144" spans="1:3">
      <c r="A144" s="102">
        <v>407933</v>
      </c>
      <c r="B144" s="106" t="s">
        <v>130</v>
      </c>
      <c r="C144">
        <f>IF('Change Request Form'!$N$34="",0,COUNTIF(B144,"*"&amp;'Change Request Form'!$N$34&amp;"*"))</f>
        <v>0</v>
      </c>
    </row>
    <row r="145" spans="1:4">
      <c r="A145" s="102">
        <v>407934</v>
      </c>
      <c r="B145" s="106" t="s">
        <v>130</v>
      </c>
      <c r="C145">
        <f>IF('Change Request Form'!$N$34="",0,COUNTIF(B145,"*"&amp;'Change Request Form'!$N$34&amp;"*"))</f>
        <v>0</v>
      </c>
    </row>
    <row r="146" spans="1:4">
      <c r="A146" s="102">
        <v>407936</v>
      </c>
      <c r="B146" s="106" t="s">
        <v>130</v>
      </c>
      <c r="C146">
        <f>IF('Change Request Form'!$N$34="",0,COUNTIF(B146,"*"&amp;'Change Request Form'!$N$34&amp;"*"))</f>
        <v>0</v>
      </c>
    </row>
    <row r="147" spans="1:4">
      <c r="A147" s="102">
        <v>407937</v>
      </c>
      <c r="B147" s="106" t="s">
        <v>130</v>
      </c>
      <c r="C147">
        <f>IF('Change Request Form'!$N$34="",0,COUNTIF(B147,"*"&amp;'Change Request Form'!$N$34&amp;"*"))</f>
        <v>0</v>
      </c>
    </row>
    <row r="148" spans="1:4">
      <c r="A148" s="102">
        <v>7350</v>
      </c>
      <c r="B148" s="106" t="s">
        <v>131</v>
      </c>
      <c r="C148">
        <f>IF('Change Request Form'!$N$34="",0,COUNTIF(B148,"*"&amp;'Change Request Form'!$N$34&amp;"*"))</f>
        <v>0</v>
      </c>
    </row>
    <row r="149" spans="1:4">
      <c r="A149">
        <v>7362</v>
      </c>
      <c r="B149" t="s">
        <v>332</v>
      </c>
    </row>
    <row r="150" spans="1:4">
      <c r="A150">
        <v>7350</v>
      </c>
      <c r="B150" t="s">
        <v>332</v>
      </c>
    </row>
    <row r="151" spans="1:4">
      <c r="A151" s="102">
        <v>7347</v>
      </c>
      <c r="B151" s="106" t="s">
        <v>131</v>
      </c>
      <c r="C151">
        <f>IF('Change Request Form'!$N$34="",0,COUNTIF(B151,"*"&amp;'Change Request Form'!$N$34&amp;"*"))</f>
        <v>0</v>
      </c>
    </row>
    <row r="152" spans="1:4">
      <c r="A152" s="102">
        <v>7221</v>
      </c>
      <c r="B152" s="106" t="s">
        <v>131</v>
      </c>
      <c r="C152">
        <f>IF('Change Request Form'!$N$34="",0,COUNTIF(B152,"*"&amp;'Change Request Form'!$N$34&amp;"*"))</f>
        <v>0</v>
      </c>
    </row>
    <row r="153" spans="1:4">
      <c r="A153" s="102">
        <v>7227</v>
      </c>
      <c r="B153" s="106" t="s">
        <v>131</v>
      </c>
      <c r="C153">
        <f>IF('Change Request Form'!$N$34="",0,COUNTIF(B153,"*"&amp;'Change Request Form'!$N$34&amp;"*"))</f>
        <v>0</v>
      </c>
    </row>
    <row r="154" spans="1:4">
      <c r="A154" s="102">
        <v>1668110</v>
      </c>
      <c r="B154" s="106" t="s">
        <v>132</v>
      </c>
      <c r="C154">
        <f>IF('Change Request Form'!$N$34="",0,COUNTIF(B154,"*"&amp;'Change Request Form'!$N$34&amp;"*"))</f>
        <v>0</v>
      </c>
    </row>
    <row r="155" spans="1:4">
      <c r="A155" s="102">
        <v>1668118</v>
      </c>
      <c r="B155" s="106" t="s">
        <v>132</v>
      </c>
      <c r="C155">
        <f>IF('Change Request Form'!$N$34="",0,COUNTIF(B155,"*"&amp;'Change Request Form'!$N$34&amp;"*"))</f>
        <v>0</v>
      </c>
    </row>
    <row r="156" spans="1:4">
      <c r="A156" s="102">
        <v>1668109</v>
      </c>
      <c r="B156" s="106" t="s">
        <v>132</v>
      </c>
      <c r="C156">
        <f>IF('Change Request Form'!$N$34="",0,COUNTIF(B156,"*"&amp;'Change Request Form'!$N$34&amp;"*"))</f>
        <v>0</v>
      </c>
    </row>
    <row r="157" spans="1:4">
      <c r="A157" s="102">
        <v>15443004</v>
      </c>
      <c r="B157" s="106" t="s">
        <v>133</v>
      </c>
      <c r="C157">
        <f>IF('Change Request Form'!$N$34="",0,COUNTIF(B157,"*"&amp;'Change Request Form'!$N$34&amp;"*"))</f>
        <v>0</v>
      </c>
    </row>
    <row r="158" spans="1:4">
      <c r="A158" s="102">
        <v>15443005</v>
      </c>
      <c r="B158" s="106" t="s">
        <v>133</v>
      </c>
      <c r="C158">
        <f>IF('Change Request Form'!$N$34="",0,COUNTIF(B158,"*"&amp;'Change Request Form'!$N$34&amp;"*"))</f>
        <v>0</v>
      </c>
    </row>
    <row r="159" spans="1:4">
      <c r="A159" s="102">
        <v>3454054</v>
      </c>
      <c r="B159" s="106" t="s">
        <v>134</v>
      </c>
      <c r="C159">
        <f>IF('Change Request Form'!$N$34="",0,COUNTIF(B159,"*"&amp;'Change Request Form'!$N$34&amp;"*"))</f>
        <v>0</v>
      </c>
      <c r="D159" s="91">
        <v>1</v>
      </c>
    </row>
    <row r="160" spans="1:4">
      <c r="A160" s="102">
        <v>718007</v>
      </c>
      <c r="B160" s="106" t="s">
        <v>134</v>
      </c>
      <c r="C160">
        <f>IF('Change Request Form'!$N$34="",0,COUNTIF(B160,"*"&amp;'Change Request Form'!$N$34&amp;"*"))</f>
        <v>0</v>
      </c>
      <c r="D160" s="91">
        <v>1</v>
      </c>
    </row>
    <row r="161" spans="1:4">
      <c r="A161" s="102">
        <v>12254186</v>
      </c>
      <c r="B161" s="106" t="s">
        <v>135</v>
      </c>
      <c r="C161">
        <f>IF('Change Request Form'!$N$34="",0,COUNTIF(B161,"*"&amp;'Change Request Form'!$N$34&amp;"*"))</f>
        <v>0</v>
      </c>
    </row>
    <row r="162" spans="1:4">
      <c r="A162" s="102">
        <v>12254187</v>
      </c>
      <c r="B162" s="106" t="s">
        <v>135</v>
      </c>
      <c r="C162">
        <f>IF('Change Request Form'!$N$34="",0,COUNTIF(B162,"*"&amp;'Change Request Form'!$N$34&amp;"*"))</f>
        <v>0</v>
      </c>
    </row>
    <row r="163" spans="1:4">
      <c r="A163" s="102">
        <v>12254195</v>
      </c>
      <c r="B163" s="106" t="s">
        <v>136</v>
      </c>
      <c r="C163">
        <f>IF('Change Request Form'!$N$34="",0,COUNTIF(B163,"*"&amp;'Change Request Form'!$N$34&amp;"*"))</f>
        <v>0</v>
      </c>
    </row>
    <row r="164" spans="1:4">
      <c r="A164" s="102">
        <v>34105</v>
      </c>
      <c r="B164" s="106" t="s">
        <v>137</v>
      </c>
      <c r="C164">
        <f>IF('Change Request Form'!$N$34="",0,COUNTIF(B164,"*"&amp;'Change Request Form'!$N$34&amp;"*"))</f>
        <v>0</v>
      </c>
      <c r="D164" s="91">
        <v>1</v>
      </c>
    </row>
    <row r="165" spans="1:4">
      <c r="A165" s="102">
        <v>34106</v>
      </c>
      <c r="B165" s="106" t="s">
        <v>137</v>
      </c>
      <c r="C165">
        <f>IF('Change Request Form'!$N$34="",0,COUNTIF(B165,"*"&amp;'Change Request Form'!$N$34&amp;"*"))</f>
        <v>0</v>
      </c>
      <c r="D165" s="91">
        <v>1</v>
      </c>
    </row>
    <row r="166" spans="1:4">
      <c r="A166" s="102">
        <v>295431</v>
      </c>
      <c r="B166" s="106" t="s">
        <v>138</v>
      </c>
      <c r="C166">
        <f>IF('Change Request Form'!$N$34="",0,COUNTIF(B166,"*"&amp;'Change Request Form'!$N$34&amp;"*"))</f>
        <v>0</v>
      </c>
    </row>
    <row r="167" spans="1:4">
      <c r="A167" s="102">
        <v>295434</v>
      </c>
      <c r="B167" s="106" t="s">
        <v>138</v>
      </c>
      <c r="C167">
        <f>IF('Change Request Form'!$N$34="",0,COUNTIF(B167,"*"&amp;'Change Request Form'!$N$34&amp;"*"))</f>
        <v>0</v>
      </c>
    </row>
    <row r="168" spans="1:4">
      <c r="A168" s="102">
        <v>295710</v>
      </c>
      <c r="B168" s="106" t="s">
        <v>139</v>
      </c>
      <c r="C168">
        <f>IF('Change Request Form'!$N$34="",0,COUNTIF(B168,"*"&amp;'Change Request Form'!$N$34&amp;"*"))</f>
        <v>0</v>
      </c>
    </row>
    <row r="169" spans="1:4">
      <c r="A169" s="102">
        <v>12254200</v>
      </c>
      <c r="B169" s="106" t="s">
        <v>140</v>
      </c>
      <c r="C169">
        <f>IF('Change Request Form'!$N$34="",0,COUNTIF(B169,"*"&amp;'Change Request Form'!$N$34&amp;"*"))</f>
        <v>0</v>
      </c>
    </row>
    <row r="170" spans="1:4">
      <c r="A170" s="102">
        <v>360554</v>
      </c>
      <c r="B170" s="106" t="s">
        <v>141</v>
      </c>
      <c r="C170">
        <f>IF('Change Request Form'!$N$34="",0,COUNTIF(B170,"*"&amp;'Change Request Form'!$N$34&amp;"*"))</f>
        <v>0</v>
      </c>
    </row>
    <row r="171" spans="1:4">
      <c r="A171" s="102">
        <v>360389</v>
      </c>
      <c r="B171" s="106" t="s">
        <v>142</v>
      </c>
      <c r="C171">
        <f>IF('Change Request Form'!$N$34="",0,COUNTIF(B171,"*"&amp;'Change Request Form'!$N$34&amp;"*"))</f>
        <v>0</v>
      </c>
    </row>
    <row r="172" spans="1:4">
      <c r="A172" s="102">
        <v>360395</v>
      </c>
      <c r="B172" s="106" t="s">
        <v>142</v>
      </c>
      <c r="C172">
        <f>IF('Change Request Form'!$N$34="",0,COUNTIF(B172,"*"&amp;'Change Request Form'!$N$34&amp;"*"))</f>
        <v>0</v>
      </c>
    </row>
    <row r="173" spans="1:4">
      <c r="A173" s="102">
        <v>1205349</v>
      </c>
      <c r="B173" s="106" t="s">
        <v>143</v>
      </c>
      <c r="C173">
        <f>IF('Change Request Form'!$N$34="",0,COUNTIF(B173,"*"&amp;'Change Request Form'!$N$34&amp;"*"))</f>
        <v>0</v>
      </c>
    </row>
    <row r="174" spans="1:4">
      <c r="A174" s="102">
        <v>1205350</v>
      </c>
      <c r="B174" s="106" t="s">
        <v>143</v>
      </c>
      <c r="C174">
        <f>IF('Change Request Form'!$N$34="",0,COUNTIF(B174,"*"&amp;'Change Request Form'!$N$34&amp;"*"))</f>
        <v>0</v>
      </c>
    </row>
    <row r="175" spans="1:4">
      <c r="A175" s="102">
        <v>311134</v>
      </c>
      <c r="B175" s="106" t="s">
        <v>144</v>
      </c>
      <c r="C175">
        <f>IF('Change Request Form'!$N$34="",0,COUNTIF(B175,"*"&amp;'Change Request Form'!$N$34&amp;"*"))</f>
        <v>0</v>
      </c>
    </row>
    <row r="176" spans="1:4">
      <c r="A176" s="102">
        <v>311133</v>
      </c>
      <c r="B176" s="106" t="s">
        <v>144</v>
      </c>
      <c r="C176">
        <f>IF('Change Request Form'!$N$34="",0,COUNTIF(B176,"*"&amp;'Change Request Form'!$N$34&amp;"*"))</f>
        <v>0</v>
      </c>
    </row>
    <row r="177" spans="1:3">
      <c r="A177" s="102">
        <v>325119</v>
      </c>
      <c r="B177" s="106" t="s">
        <v>145</v>
      </c>
      <c r="C177">
        <f>IF('Change Request Form'!$N$34="",0,COUNTIF(B177,"*"&amp;'Change Request Form'!$N$34&amp;"*"))</f>
        <v>0</v>
      </c>
    </row>
    <row r="178" spans="1:3">
      <c r="A178" s="102">
        <v>1205318</v>
      </c>
      <c r="B178" s="106" t="s">
        <v>146</v>
      </c>
      <c r="C178">
        <f>IF('Change Request Form'!$N$34="",0,COUNTIF(B178,"*"&amp;'Change Request Form'!$N$34&amp;"*"))</f>
        <v>0</v>
      </c>
    </row>
    <row r="179" spans="1:3">
      <c r="A179" s="102">
        <v>1205317</v>
      </c>
      <c r="B179" s="106" t="s">
        <v>147</v>
      </c>
      <c r="C179">
        <f>IF('Change Request Form'!$N$34="",0,COUNTIF(B179,"*"&amp;'Change Request Form'!$N$34&amp;"*"))</f>
        <v>0</v>
      </c>
    </row>
    <row r="180" spans="1:3">
      <c r="A180" s="102">
        <v>1205316</v>
      </c>
      <c r="B180" s="106" t="s">
        <v>147</v>
      </c>
      <c r="C180">
        <f>IF('Change Request Form'!$N$34="",0,COUNTIF(B180,"*"&amp;'Change Request Form'!$N$34&amp;"*"))</f>
        <v>0</v>
      </c>
    </row>
    <row r="181" spans="1:3">
      <c r="A181" s="102">
        <v>325104</v>
      </c>
      <c r="B181" s="106" t="s">
        <v>148</v>
      </c>
      <c r="C181">
        <f>IF('Change Request Form'!$N$34="",0,COUNTIF(B181,"*"&amp;'Change Request Form'!$N$34&amp;"*"))</f>
        <v>0</v>
      </c>
    </row>
    <row r="182" spans="1:3">
      <c r="A182" s="102">
        <v>7224046</v>
      </c>
      <c r="B182" s="106" t="s">
        <v>149</v>
      </c>
      <c r="C182">
        <f>IF('Change Request Form'!$N$34="",0,COUNTIF(B182,"*"&amp;'Change Request Form'!$N$34&amp;"*"))</f>
        <v>0</v>
      </c>
    </row>
    <row r="183" spans="1:3">
      <c r="A183" s="102">
        <v>7224051</v>
      </c>
      <c r="B183" s="106" t="s">
        <v>149</v>
      </c>
      <c r="C183">
        <f>IF('Change Request Form'!$N$34="",0,COUNTIF(B183,"*"&amp;'Change Request Form'!$N$34&amp;"*"))</f>
        <v>0</v>
      </c>
    </row>
    <row r="184" spans="1:3">
      <c r="A184" s="102">
        <v>360386</v>
      </c>
      <c r="B184" s="106" t="s">
        <v>150</v>
      </c>
      <c r="C184">
        <f>IF('Change Request Form'!$N$34="",0,COUNTIF(B184,"*"&amp;'Change Request Form'!$N$34&amp;"*"))</f>
        <v>0</v>
      </c>
    </row>
    <row r="185" spans="1:3">
      <c r="A185" s="102">
        <v>360401</v>
      </c>
      <c r="B185" s="106" t="s">
        <v>150</v>
      </c>
      <c r="C185">
        <f>IF('Change Request Form'!$N$34="",0,COUNTIF(B185,"*"&amp;'Change Request Form'!$N$34&amp;"*"))</f>
        <v>0</v>
      </c>
    </row>
    <row r="186" spans="1:3">
      <c r="A186" s="102">
        <v>360589</v>
      </c>
      <c r="B186" s="106" t="s">
        <v>151</v>
      </c>
      <c r="C186">
        <f>IF('Change Request Form'!$N$34="",0,COUNTIF(B186,"*"&amp;'Change Request Form'!$N$34&amp;"*"))</f>
        <v>0</v>
      </c>
    </row>
    <row r="187" spans="1:3">
      <c r="A187" s="102">
        <v>360602</v>
      </c>
      <c r="B187" s="106" t="s">
        <v>152</v>
      </c>
      <c r="C187">
        <f>IF('Change Request Form'!$N$34="",0,COUNTIF(B187,"*"&amp;'Change Request Form'!$N$34&amp;"*"))</f>
        <v>0</v>
      </c>
    </row>
    <row r="188" spans="1:3">
      <c r="A188" s="102">
        <v>360578</v>
      </c>
      <c r="B188" s="106" t="s">
        <v>152</v>
      </c>
      <c r="C188">
        <f>IF('Change Request Form'!$N$34="",0,COUNTIF(B188,"*"&amp;'Change Request Form'!$N$34&amp;"*"))</f>
        <v>0</v>
      </c>
    </row>
    <row r="189" spans="1:3">
      <c r="A189" s="102">
        <v>360563</v>
      </c>
      <c r="B189" s="106" t="s">
        <v>152</v>
      </c>
      <c r="C189">
        <f>IF('Change Request Form'!$N$34="",0,COUNTIF(B189,"*"&amp;'Change Request Form'!$N$34&amp;"*"))</f>
        <v>0</v>
      </c>
    </row>
    <row r="190" spans="1:3">
      <c r="A190" s="102">
        <v>360599</v>
      </c>
      <c r="B190" s="106" t="s">
        <v>153</v>
      </c>
      <c r="C190">
        <f>IF('Change Request Form'!$N$34="",0,COUNTIF(B190,"*"&amp;'Change Request Form'!$N$34&amp;"*"))</f>
        <v>0</v>
      </c>
    </row>
    <row r="191" spans="1:3">
      <c r="A191" s="102">
        <v>360577</v>
      </c>
      <c r="B191" s="106" t="s">
        <v>153</v>
      </c>
      <c r="C191">
        <f>IF('Change Request Form'!$N$34="",0,COUNTIF(B191,"*"&amp;'Change Request Form'!$N$34&amp;"*"))</f>
        <v>0</v>
      </c>
    </row>
    <row r="192" spans="1:3">
      <c r="A192" s="102">
        <v>360565</v>
      </c>
      <c r="B192" s="106" t="s">
        <v>153</v>
      </c>
      <c r="C192">
        <f>IF('Change Request Form'!$N$34="",0,COUNTIF(B192,"*"&amp;'Change Request Form'!$N$34&amp;"*"))</f>
        <v>0</v>
      </c>
    </row>
    <row r="193" spans="1:4">
      <c r="A193" s="102">
        <v>268299</v>
      </c>
      <c r="B193" s="106" t="s">
        <v>154</v>
      </c>
      <c r="C193">
        <f>IF('Change Request Form'!$N$34="",0,COUNTIF(B193,"*"&amp;'Change Request Form'!$N$34&amp;"*"))</f>
        <v>0</v>
      </c>
    </row>
    <row r="194" spans="1:4">
      <c r="A194" s="102">
        <v>268302</v>
      </c>
      <c r="B194" s="106" t="s">
        <v>154</v>
      </c>
      <c r="C194">
        <f>IF('Change Request Form'!$N$34="",0,COUNTIF(B194,"*"&amp;'Change Request Form'!$N$34&amp;"*"))</f>
        <v>0</v>
      </c>
    </row>
    <row r="195" spans="1:4">
      <c r="A195" s="102">
        <v>3157079</v>
      </c>
      <c r="B195" s="106" t="s">
        <v>155</v>
      </c>
      <c r="C195">
        <f>IF('Change Request Form'!$N$34="",0,COUNTIF(B195,"*"&amp;'Change Request Form'!$N$34&amp;"*"))</f>
        <v>0</v>
      </c>
    </row>
    <row r="196" spans="1:4">
      <c r="A196" s="102">
        <v>5768121</v>
      </c>
      <c r="B196" s="106" t="s">
        <v>156</v>
      </c>
      <c r="C196">
        <f>IF('Change Request Form'!$N$34="",0,COUNTIF(B196,"*"&amp;'Change Request Form'!$N$34&amp;"*"))</f>
        <v>0</v>
      </c>
    </row>
    <row r="197" spans="1:4">
      <c r="A197" s="102">
        <v>5768123</v>
      </c>
      <c r="B197" s="106" t="s">
        <v>157</v>
      </c>
      <c r="C197">
        <f>IF('Change Request Form'!$N$34="",0,COUNTIF(B197,"*"&amp;'Change Request Form'!$N$34&amp;"*"))</f>
        <v>0</v>
      </c>
    </row>
    <row r="198" spans="1:4">
      <c r="A198" s="102">
        <v>325113</v>
      </c>
      <c r="B198" s="106" t="s">
        <v>158</v>
      </c>
      <c r="C198">
        <f>IF('Change Request Form'!$N$34="",0,COUNTIF(B198,"*"&amp;'Change Request Form'!$N$34&amp;"*"))</f>
        <v>0</v>
      </c>
    </row>
    <row r="199" spans="1:4">
      <c r="A199" s="102">
        <v>325114</v>
      </c>
      <c r="B199" s="106" t="s">
        <v>158</v>
      </c>
      <c r="C199">
        <f>IF('Change Request Form'!$N$34="",0,COUNTIF(B199,"*"&amp;'Change Request Form'!$N$34&amp;"*"))</f>
        <v>0</v>
      </c>
    </row>
    <row r="200" spans="1:4">
      <c r="A200" s="102">
        <v>312028</v>
      </c>
      <c r="B200" s="106" t="s">
        <v>159</v>
      </c>
      <c r="C200">
        <f>IF('Change Request Form'!$N$34="",0,COUNTIF(B200,"*"&amp;'Change Request Form'!$N$34&amp;"*"))</f>
        <v>0</v>
      </c>
    </row>
    <row r="201" spans="1:4">
      <c r="A201" s="102">
        <v>296812</v>
      </c>
      <c r="B201" s="106" t="s">
        <v>160</v>
      </c>
      <c r="C201">
        <f>IF('Change Request Form'!$N$34="",0,COUNTIF(B201,"*"&amp;'Change Request Form'!$N$34&amp;"*"))</f>
        <v>0</v>
      </c>
    </row>
    <row r="202" spans="1:4">
      <c r="A202" s="102">
        <v>360248</v>
      </c>
      <c r="B202" s="106" t="s">
        <v>160</v>
      </c>
      <c r="C202">
        <f>IF('Change Request Form'!$N$34="",0,COUNTIF(B202,"*"&amp;'Change Request Form'!$N$34&amp;"*"))</f>
        <v>0</v>
      </c>
    </row>
    <row r="203" spans="1:4">
      <c r="A203" s="102">
        <v>1007221</v>
      </c>
      <c r="B203" s="106" t="s">
        <v>161</v>
      </c>
      <c r="C203">
        <f>IF('Change Request Form'!$N$34="",0,COUNTIF(B203,"*"&amp;'Change Request Form'!$N$34&amp;"*"))</f>
        <v>0</v>
      </c>
    </row>
    <row r="204" spans="1:4">
      <c r="A204" s="102">
        <v>1007180</v>
      </c>
      <c r="B204" s="106" t="s">
        <v>161</v>
      </c>
      <c r="C204">
        <f>IF('Change Request Form'!$N$34="",0,COUNTIF(B204,"*"&amp;'Change Request Form'!$N$34&amp;"*"))</f>
        <v>0</v>
      </c>
    </row>
    <row r="205" spans="1:4">
      <c r="A205" s="102">
        <v>411007</v>
      </c>
      <c r="B205" s="106" t="s">
        <v>162</v>
      </c>
      <c r="C205">
        <f>IF('Change Request Form'!$N$34="",0,COUNTIF(B205,"*"&amp;'Change Request Form'!$N$34&amp;"*"))</f>
        <v>0</v>
      </c>
      <c r="D205" s="91">
        <v>1</v>
      </c>
    </row>
    <row r="206" spans="1:4">
      <c r="A206" s="102">
        <v>44090</v>
      </c>
      <c r="B206" s="106" t="s">
        <v>163</v>
      </c>
      <c r="C206">
        <f>IF('Change Request Form'!$N$34="",0,COUNTIF(B206,"*"&amp;'Change Request Form'!$N$34&amp;"*"))</f>
        <v>0</v>
      </c>
    </row>
    <row r="207" spans="1:4">
      <c r="A207" s="102">
        <v>29195</v>
      </c>
      <c r="B207" s="106" t="s">
        <v>164</v>
      </c>
      <c r="C207">
        <f>IF('Change Request Form'!$N$34="",0,COUNTIF(B207,"*"&amp;'Change Request Form'!$N$34&amp;"*"))</f>
        <v>0</v>
      </c>
    </row>
    <row r="208" spans="1:4">
      <c r="A208" s="102">
        <v>43015</v>
      </c>
      <c r="B208" s="106" t="s">
        <v>165</v>
      </c>
      <c r="C208">
        <f>IF('Change Request Form'!$N$34="",0,COUNTIF(B208,"*"&amp;'Change Request Form'!$N$34&amp;"*"))</f>
        <v>0</v>
      </c>
    </row>
    <row r="209" spans="1:4">
      <c r="A209" s="102">
        <v>3496098</v>
      </c>
      <c r="B209" s="106" t="s">
        <v>166</v>
      </c>
      <c r="C209">
        <f>IF('Change Request Form'!$N$34="",0,COUNTIF(B209,"*"&amp;'Change Request Form'!$N$34&amp;"*"))</f>
        <v>0</v>
      </c>
    </row>
    <row r="210" spans="1:4">
      <c r="A210" s="102">
        <v>5905055</v>
      </c>
      <c r="B210" s="106" t="s">
        <v>167</v>
      </c>
      <c r="C210">
        <f>IF('Change Request Form'!$N$34="",0,COUNTIF(B210,"*"&amp;'Change Request Form'!$N$34&amp;"*"))</f>
        <v>0</v>
      </c>
      <c r="D210" s="91">
        <v>1</v>
      </c>
    </row>
    <row r="211" spans="1:4">
      <c r="A211" s="102">
        <v>555087</v>
      </c>
      <c r="B211" s="106" t="s">
        <v>168</v>
      </c>
      <c r="C211">
        <f>IF('Change Request Form'!$N$34="",0,COUNTIF(B211,"*"&amp;'Change Request Form'!$N$34&amp;"*"))</f>
        <v>0</v>
      </c>
    </row>
    <row r="212" spans="1:4">
      <c r="A212" s="102">
        <v>47288</v>
      </c>
      <c r="B212" s="106" t="s">
        <v>169</v>
      </c>
      <c r="C212">
        <f>IF('Change Request Form'!$N$34="",0,COUNTIF(B212,"*"&amp;'Change Request Form'!$N$34&amp;"*"))</f>
        <v>0</v>
      </c>
    </row>
    <row r="213" spans="1:4">
      <c r="A213" s="102">
        <v>47328</v>
      </c>
      <c r="B213" s="106" t="s">
        <v>170</v>
      </c>
      <c r="C213">
        <f>IF('Change Request Form'!$N$34="",0,COUNTIF(B213,"*"&amp;'Change Request Form'!$N$34&amp;"*"))</f>
        <v>0</v>
      </c>
    </row>
    <row r="214" spans="1:4">
      <c r="A214" s="102">
        <v>49108</v>
      </c>
      <c r="B214" s="106" t="s">
        <v>171</v>
      </c>
      <c r="C214">
        <f>IF('Change Request Form'!$N$34="",0,COUNTIF(B214,"*"&amp;'Change Request Form'!$N$34&amp;"*"))</f>
        <v>0</v>
      </c>
    </row>
    <row r="215" spans="1:4">
      <c r="A215" s="102">
        <v>3096009</v>
      </c>
      <c r="B215" s="106" t="s">
        <v>171</v>
      </c>
      <c r="C215">
        <f>IF('Change Request Form'!$N$34="",0,COUNTIF(B215,"*"&amp;'Change Request Form'!$N$34&amp;"*"))</f>
        <v>0</v>
      </c>
    </row>
    <row r="216" spans="1:4">
      <c r="A216" s="102">
        <v>14760000</v>
      </c>
      <c r="B216" s="106" t="s">
        <v>172</v>
      </c>
      <c r="C216">
        <f>IF('Change Request Form'!$N$34="",0,COUNTIF(B216,"*"&amp;'Change Request Form'!$N$34&amp;"*"))</f>
        <v>0</v>
      </c>
    </row>
    <row r="217" spans="1:4">
      <c r="A217" s="102">
        <v>78051</v>
      </c>
      <c r="B217" s="106" t="s">
        <v>173</v>
      </c>
      <c r="C217">
        <f>IF('Change Request Form'!$N$34="",0,COUNTIF(B217,"*"&amp;'Change Request Form'!$N$34&amp;"*"))</f>
        <v>0</v>
      </c>
    </row>
    <row r="218" spans="1:4">
      <c r="A218" s="102">
        <v>403060</v>
      </c>
      <c r="B218" s="106" t="s">
        <v>174</v>
      </c>
      <c r="C218">
        <f>IF('Change Request Form'!$N$34="",0,COUNTIF(B218,"*"&amp;'Change Request Form'!$N$34&amp;"*"))</f>
        <v>0</v>
      </c>
    </row>
    <row r="219" spans="1:4">
      <c r="A219" s="102">
        <v>406101</v>
      </c>
      <c r="B219" s="106" t="s">
        <v>175</v>
      </c>
      <c r="C219">
        <f>IF('Change Request Form'!$N$34="",0,COUNTIF(B219,"*"&amp;'Change Request Form'!$N$34&amp;"*"))</f>
        <v>0</v>
      </c>
    </row>
    <row r="220" spans="1:4">
      <c r="A220" s="102">
        <v>17462043</v>
      </c>
      <c r="B220" s="106" t="s">
        <v>176</v>
      </c>
      <c r="C220">
        <f>IF('Change Request Form'!$N$34="",0,COUNTIF(B220,"*"&amp;'Change Request Form'!$N$34&amp;"*"))</f>
        <v>0</v>
      </c>
      <c r="D220" s="91">
        <v>1</v>
      </c>
    </row>
    <row r="221" spans="1:4">
      <c r="A221" s="102">
        <v>155785</v>
      </c>
      <c r="B221" s="106" t="s">
        <v>176</v>
      </c>
      <c r="C221">
        <f>IF('Change Request Form'!$N$34="",0,COUNTIF(B221,"*"&amp;'Change Request Form'!$N$34&amp;"*"))</f>
        <v>0</v>
      </c>
      <c r="D221" s="91">
        <v>1</v>
      </c>
    </row>
    <row r="222" spans="1:4">
      <c r="A222" s="102">
        <v>17462031</v>
      </c>
      <c r="B222" s="106" t="s">
        <v>176</v>
      </c>
      <c r="C222">
        <f>IF('Change Request Form'!$N$34="",0,COUNTIF(B222,"*"&amp;'Change Request Form'!$N$34&amp;"*"))</f>
        <v>0</v>
      </c>
      <c r="D222" s="91">
        <v>1</v>
      </c>
    </row>
    <row r="223" spans="1:4">
      <c r="A223" s="102">
        <v>155617</v>
      </c>
      <c r="B223" s="106" t="s">
        <v>176</v>
      </c>
      <c r="C223">
        <f>IF('Change Request Form'!$N$34="",0,COUNTIF(B223,"*"&amp;'Change Request Form'!$N$34&amp;"*"))</f>
        <v>0</v>
      </c>
      <c r="D223" s="91">
        <v>1</v>
      </c>
    </row>
    <row r="224" spans="1:4">
      <c r="A224" s="102">
        <v>155620</v>
      </c>
      <c r="B224" s="106" t="s">
        <v>176</v>
      </c>
      <c r="C224">
        <f>IF('Change Request Form'!$N$34="",0,COUNTIF(B224,"*"&amp;'Change Request Form'!$N$34&amp;"*"))</f>
        <v>0</v>
      </c>
      <c r="D224" s="91">
        <v>1</v>
      </c>
    </row>
    <row r="225" spans="1:4">
      <c r="A225" s="102">
        <v>4569132</v>
      </c>
      <c r="B225" s="106" t="s">
        <v>177</v>
      </c>
      <c r="C225">
        <f>IF('Change Request Form'!$N$34="",0,COUNTIF(B225,"*"&amp;'Change Request Form'!$N$34&amp;"*"))</f>
        <v>0</v>
      </c>
    </row>
    <row r="226" spans="1:4">
      <c r="A226" s="102">
        <v>17398000</v>
      </c>
      <c r="B226" s="106" t="s">
        <v>177</v>
      </c>
      <c r="C226">
        <f>IF('Change Request Form'!$N$34="",0,COUNTIF(B226,"*"&amp;'Change Request Form'!$N$34&amp;"*"))</f>
        <v>0</v>
      </c>
    </row>
    <row r="227" spans="1:4">
      <c r="A227" s="102">
        <v>15265000</v>
      </c>
      <c r="B227" s="106" t="s">
        <v>177</v>
      </c>
      <c r="C227">
        <f>IF('Change Request Form'!$N$34="",0,COUNTIF(B227,"*"&amp;'Change Request Form'!$N$34&amp;"*"))</f>
        <v>0</v>
      </c>
    </row>
    <row r="228" spans="1:4">
      <c r="A228" s="102">
        <v>4569140</v>
      </c>
      <c r="B228" s="106" t="s">
        <v>177</v>
      </c>
      <c r="C228">
        <f>IF('Change Request Form'!$N$34="",0,COUNTIF(B228,"*"&amp;'Change Request Form'!$N$34&amp;"*"))</f>
        <v>0</v>
      </c>
    </row>
    <row r="229" spans="1:4">
      <c r="A229" s="102">
        <v>7333512</v>
      </c>
      <c r="B229" s="106" t="s">
        <v>178</v>
      </c>
      <c r="C229">
        <f>IF('Change Request Form'!$N$34="",0,COUNTIF(B229,"*"&amp;'Change Request Form'!$N$34&amp;"*"))</f>
        <v>0</v>
      </c>
      <c r="D229" s="91">
        <v>1</v>
      </c>
    </row>
    <row r="230" spans="1:4">
      <c r="A230" s="102">
        <v>7333622</v>
      </c>
      <c r="B230" s="106" t="s">
        <v>178</v>
      </c>
      <c r="C230">
        <f>IF('Change Request Form'!$N$34="",0,COUNTIF(B230,"*"&amp;'Change Request Form'!$N$34&amp;"*"))</f>
        <v>0</v>
      </c>
      <c r="D230" s="91">
        <v>1</v>
      </c>
    </row>
    <row r="231" spans="1:4">
      <c r="A231" s="102">
        <v>7333460</v>
      </c>
      <c r="B231" s="106" t="s">
        <v>178</v>
      </c>
      <c r="C231">
        <f>IF('Change Request Form'!$N$34="",0,COUNTIF(B231,"*"&amp;'Change Request Form'!$N$34&amp;"*"))</f>
        <v>0</v>
      </c>
      <c r="D231" s="91">
        <v>1</v>
      </c>
    </row>
    <row r="232" spans="1:4">
      <c r="A232" s="102">
        <v>7333459</v>
      </c>
      <c r="B232" s="106" t="s">
        <v>178</v>
      </c>
      <c r="C232">
        <f>IF('Change Request Form'!$N$34="",0,COUNTIF(B232,"*"&amp;'Change Request Form'!$N$34&amp;"*"))</f>
        <v>0</v>
      </c>
      <c r="D232" s="91">
        <v>1</v>
      </c>
    </row>
    <row r="233" spans="1:4">
      <c r="A233" s="102">
        <v>821973</v>
      </c>
      <c r="B233" s="106" t="s">
        <v>179</v>
      </c>
      <c r="C233">
        <f>IF('Change Request Form'!$N$34="",0,COUNTIF(B233,"*"&amp;'Change Request Form'!$N$34&amp;"*"))</f>
        <v>0</v>
      </c>
    </row>
    <row r="234" spans="1:4">
      <c r="A234" s="102">
        <v>821253</v>
      </c>
      <c r="B234" s="106" t="s">
        <v>180</v>
      </c>
      <c r="C234">
        <f>IF('Change Request Form'!$N$34="",0,COUNTIF(B234,"*"&amp;'Change Request Form'!$N$34&amp;"*"))</f>
        <v>0</v>
      </c>
    </row>
    <row r="235" spans="1:4">
      <c r="A235" s="102">
        <v>821974</v>
      </c>
      <c r="B235" s="106" t="s">
        <v>180</v>
      </c>
      <c r="C235">
        <f>IF('Change Request Form'!$N$34="",0,COUNTIF(B235,"*"&amp;'Change Request Form'!$N$34&amp;"*"))</f>
        <v>0</v>
      </c>
    </row>
    <row r="236" spans="1:4">
      <c r="A236" s="102">
        <v>821212</v>
      </c>
      <c r="B236" s="106" t="s">
        <v>180</v>
      </c>
      <c r="C236">
        <f>IF('Change Request Form'!$N$34="",0,COUNTIF(B236,"*"&amp;'Change Request Form'!$N$34&amp;"*"))</f>
        <v>0</v>
      </c>
    </row>
    <row r="237" spans="1:4">
      <c r="A237" s="102">
        <v>821238</v>
      </c>
      <c r="B237" s="106" t="s">
        <v>180</v>
      </c>
      <c r="C237">
        <f>IF('Change Request Form'!$N$34="",0,COUNTIF(B237,"*"&amp;'Change Request Form'!$N$34&amp;"*"))</f>
        <v>0</v>
      </c>
    </row>
    <row r="238" spans="1:4">
      <c r="A238" s="102">
        <v>821236</v>
      </c>
      <c r="B238" s="106" t="s">
        <v>180</v>
      </c>
      <c r="C238">
        <f>IF('Change Request Form'!$N$34="",0,COUNTIF(B238,"*"&amp;'Change Request Form'!$N$34&amp;"*"))</f>
        <v>0</v>
      </c>
    </row>
    <row r="239" spans="1:4">
      <c r="A239" s="102">
        <v>821916</v>
      </c>
      <c r="B239" s="106" t="s">
        <v>180</v>
      </c>
      <c r="C239">
        <f>IF('Change Request Form'!$N$34="",0,COUNTIF(B239,"*"&amp;'Change Request Form'!$N$34&amp;"*"))</f>
        <v>0</v>
      </c>
    </row>
    <row r="240" spans="1:4">
      <c r="A240" s="102">
        <v>821121</v>
      </c>
      <c r="B240" s="106" t="s">
        <v>180</v>
      </c>
      <c r="C240">
        <f>IF('Change Request Form'!$N$34="",0,COUNTIF(B240,"*"&amp;'Change Request Form'!$N$34&amp;"*"))</f>
        <v>0</v>
      </c>
    </row>
    <row r="241" spans="1:4">
      <c r="A241" s="102">
        <v>821915</v>
      </c>
      <c r="B241" s="106" t="s">
        <v>180</v>
      </c>
      <c r="C241">
        <f>IF('Change Request Form'!$N$34="",0,COUNTIF(B241,"*"&amp;'Change Request Form'!$N$34&amp;"*"))</f>
        <v>0</v>
      </c>
    </row>
    <row r="242" spans="1:4">
      <c r="A242" s="102">
        <v>4574024</v>
      </c>
      <c r="B242" s="106" t="s">
        <v>181</v>
      </c>
      <c r="C242">
        <f>IF('Change Request Form'!$N$34="",0,COUNTIF(B242,"*"&amp;'Change Request Form'!$N$34&amp;"*"))</f>
        <v>0</v>
      </c>
    </row>
    <row r="243" spans="1:4">
      <c r="A243" s="102">
        <v>4574026</v>
      </c>
      <c r="B243" s="106" t="s">
        <v>181</v>
      </c>
      <c r="C243">
        <f>IF('Change Request Form'!$N$34="",0,COUNTIF(B243,"*"&amp;'Change Request Form'!$N$34&amp;"*"))</f>
        <v>0</v>
      </c>
    </row>
    <row r="244" spans="1:4">
      <c r="A244" s="102">
        <v>4574021</v>
      </c>
      <c r="B244" s="106" t="s">
        <v>181</v>
      </c>
      <c r="C244">
        <f>IF('Change Request Form'!$N$34="",0,COUNTIF(B244,"*"&amp;'Change Request Form'!$N$34&amp;"*"))</f>
        <v>0</v>
      </c>
    </row>
    <row r="245" spans="1:4">
      <c r="A245" s="102">
        <v>4574025</v>
      </c>
      <c r="B245" s="106" t="s">
        <v>181</v>
      </c>
      <c r="C245">
        <f>IF('Change Request Form'!$N$34="",0,COUNTIF(B245,"*"&amp;'Change Request Form'!$N$34&amp;"*"))</f>
        <v>0</v>
      </c>
    </row>
    <row r="246" spans="1:4">
      <c r="A246" s="102">
        <v>7314069</v>
      </c>
      <c r="B246" s="106" t="s">
        <v>182</v>
      </c>
      <c r="C246">
        <f>IF('Change Request Form'!$N$34="",0,COUNTIF(B246,"*"&amp;'Change Request Form'!$N$34&amp;"*"))</f>
        <v>0</v>
      </c>
      <c r="D246" s="91">
        <v>1</v>
      </c>
    </row>
    <row r="247" spans="1:4">
      <c r="A247" s="102">
        <v>125104</v>
      </c>
      <c r="B247" s="106" t="s">
        <v>182</v>
      </c>
      <c r="C247">
        <f>IF('Change Request Form'!$N$34="",0,COUNTIF(B247,"*"&amp;'Change Request Form'!$N$34&amp;"*"))</f>
        <v>0</v>
      </c>
      <c r="D247" s="91">
        <v>1</v>
      </c>
    </row>
    <row r="248" spans="1:4">
      <c r="A248" s="102">
        <v>18408001</v>
      </c>
      <c r="B248" s="106" t="s">
        <v>182</v>
      </c>
      <c r="C248">
        <f>IF('Change Request Form'!$N$34="",0,COUNTIF(B248,"*"&amp;'Change Request Form'!$N$34&amp;"*"))</f>
        <v>0</v>
      </c>
      <c r="D248" s="91">
        <v>1</v>
      </c>
    </row>
    <row r="249" spans="1:4">
      <c r="A249" s="102">
        <v>7314062</v>
      </c>
      <c r="B249" s="106" t="s">
        <v>182</v>
      </c>
      <c r="C249">
        <f>IF('Change Request Form'!$N$34="",0,COUNTIF(B249,"*"&amp;'Change Request Form'!$N$34&amp;"*"))</f>
        <v>0</v>
      </c>
      <c r="D249" s="91">
        <v>1</v>
      </c>
    </row>
    <row r="250" spans="1:4">
      <c r="A250" s="102">
        <v>7314072</v>
      </c>
      <c r="B250" s="106" t="s">
        <v>182</v>
      </c>
      <c r="C250">
        <f>IF('Change Request Form'!$N$34="",0,COUNTIF(B250,"*"&amp;'Change Request Form'!$N$34&amp;"*"))</f>
        <v>0</v>
      </c>
      <c r="D250" s="91">
        <v>1</v>
      </c>
    </row>
    <row r="251" spans="1:4">
      <c r="A251" s="102">
        <v>15179001</v>
      </c>
      <c r="B251" s="106" t="s">
        <v>183</v>
      </c>
      <c r="C251">
        <f>IF('Change Request Form'!$N$34="",0,COUNTIF(B251,"*"&amp;'Change Request Form'!$N$34&amp;"*"))</f>
        <v>0</v>
      </c>
      <c r="D251" s="91">
        <v>1</v>
      </c>
    </row>
    <row r="252" spans="1:4">
      <c r="A252" s="102">
        <v>232559</v>
      </c>
      <c r="B252" s="106" t="s">
        <v>184</v>
      </c>
      <c r="C252">
        <f>IF('Change Request Form'!$N$34="",0,COUNTIF(B252,"*"&amp;'Change Request Form'!$N$34&amp;"*"))</f>
        <v>0</v>
      </c>
    </row>
    <row r="253" spans="1:4">
      <c r="A253" s="102">
        <v>111469</v>
      </c>
      <c r="B253" s="106" t="s">
        <v>185</v>
      </c>
      <c r="C253">
        <f>IF('Change Request Form'!$N$34="",0,COUNTIF(B253,"*"&amp;'Change Request Form'!$N$34&amp;"*"))</f>
        <v>0</v>
      </c>
    </row>
    <row r="254" spans="1:4">
      <c r="A254" s="102">
        <v>2991117</v>
      </c>
      <c r="B254" s="106" t="s">
        <v>186</v>
      </c>
      <c r="C254">
        <f>IF('Change Request Form'!$N$34="",0,COUNTIF(B254,"*"&amp;'Change Request Form'!$N$34&amp;"*"))</f>
        <v>0</v>
      </c>
    </row>
    <row r="255" spans="1:4">
      <c r="A255" s="102">
        <v>5479111</v>
      </c>
      <c r="B255" s="106" t="s">
        <v>187</v>
      </c>
      <c r="C255">
        <f>IF('Change Request Form'!$N$34="",0,COUNTIF(B255,"*"&amp;'Change Request Form'!$N$34&amp;"*"))</f>
        <v>0</v>
      </c>
      <c r="D255" s="91">
        <v>1</v>
      </c>
    </row>
    <row r="256" spans="1:4">
      <c r="A256" s="102">
        <v>5479117</v>
      </c>
      <c r="B256" s="106" t="s">
        <v>187</v>
      </c>
      <c r="C256">
        <f>IF('Change Request Form'!$N$34="",0,COUNTIF(B256,"*"&amp;'Change Request Form'!$N$34&amp;"*"))</f>
        <v>0</v>
      </c>
      <c r="D256" s="91">
        <v>1</v>
      </c>
    </row>
    <row r="257" spans="1:4">
      <c r="A257" s="102">
        <v>5479116</v>
      </c>
      <c r="B257" s="106" t="s">
        <v>187</v>
      </c>
      <c r="C257">
        <f>IF('Change Request Form'!$N$34="",0,COUNTIF(B257,"*"&amp;'Change Request Form'!$N$34&amp;"*"))</f>
        <v>0</v>
      </c>
      <c r="D257" s="91">
        <v>1</v>
      </c>
    </row>
    <row r="258" spans="1:4">
      <c r="A258" s="102">
        <v>5636022</v>
      </c>
      <c r="B258" s="106" t="s">
        <v>188</v>
      </c>
      <c r="C258">
        <f>IF('Change Request Form'!$N$34="",0,COUNTIF(B258,"*"&amp;'Change Request Form'!$N$34&amp;"*"))</f>
        <v>0</v>
      </c>
      <c r="D258" s="91">
        <v>1</v>
      </c>
    </row>
    <row r="259" spans="1:4">
      <c r="A259" s="102">
        <v>5636025</v>
      </c>
      <c r="B259" s="106" t="s">
        <v>188</v>
      </c>
      <c r="C259">
        <f>IF('Change Request Form'!$N$34="",0,COUNTIF(B259,"*"&amp;'Change Request Form'!$N$34&amp;"*"))</f>
        <v>0</v>
      </c>
      <c r="D259" s="91">
        <v>1</v>
      </c>
    </row>
    <row r="260" spans="1:4">
      <c r="A260" s="102">
        <v>261243</v>
      </c>
      <c r="B260" s="106" t="s">
        <v>189</v>
      </c>
      <c r="C260">
        <f>IF('Change Request Form'!$N$34="",0,COUNTIF(B260,"*"&amp;'Change Request Form'!$N$34&amp;"*"))</f>
        <v>0</v>
      </c>
      <c r="D260" s="91">
        <v>1</v>
      </c>
    </row>
    <row r="261" spans="1:4">
      <c r="A261" s="102">
        <v>261262</v>
      </c>
      <c r="B261" s="106" t="s">
        <v>189</v>
      </c>
      <c r="C261">
        <f>IF('Change Request Form'!$N$34="",0,COUNTIF(B261,"*"&amp;'Change Request Form'!$N$34&amp;"*"))</f>
        <v>0</v>
      </c>
      <c r="D261" s="91">
        <v>1</v>
      </c>
    </row>
    <row r="262" spans="1:4">
      <c r="A262" s="102">
        <v>1960105</v>
      </c>
      <c r="B262" s="106" t="s">
        <v>190</v>
      </c>
      <c r="C262">
        <f>IF('Change Request Form'!$N$34="",0,COUNTIF(B262,"*"&amp;'Change Request Form'!$N$34&amp;"*"))</f>
        <v>0</v>
      </c>
      <c r="D262" s="91">
        <v>1</v>
      </c>
    </row>
    <row r="263" spans="1:4">
      <c r="A263" s="102">
        <v>867012</v>
      </c>
      <c r="B263" s="106" t="s">
        <v>191</v>
      </c>
      <c r="C263">
        <f>IF('Change Request Form'!$N$34="",0,COUNTIF(B263,"*"&amp;'Change Request Form'!$N$34&amp;"*"))</f>
        <v>0</v>
      </c>
    </row>
    <row r="264" spans="1:4">
      <c r="A264" s="102">
        <v>8177</v>
      </c>
      <c r="B264" s="106" t="s">
        <v>192</v>
      </c>
      <c r="C264">
        <f>IF('Change Request Form'!$N$34="",0,COUNTIF(B264,"*"&amp;'Change Request Form'!$N$34&amp;"*"))</f>
        <v>0</v>
      </c>
    </row>
    <row r="265" spans="1:4">
      <c r="A265" s="102">
        <v>8132</v>
      </c>
      <c r="B265" s="106" t="s">
        <v>192</v>
      </c>
      <c r="C265">
        <f>IF('Change Request Form'!$N$34="",0,COUNTIF(B265,"*"&amp;'Change Request Form'!$N$34&amp;"*"))</f>
        <v>0</v>
      </c>
    </row>
    <row r="266" spans="1:4">
      <c r="A266" s="102">
        <v>5906039</v>
      </c>
      <c r="B266" s="106" t="s">
        <v>193</v>
      </c>
      <c r="C266">
        <f>IF('Change Request Form'!$N$34="",0,COUNTIF(B266,"*"&amp;'Change Request Form'!$N$34&amp;"*"))</f>
        <v>0</v>
      </c>
    </row>
    <row r="267" spans="1:4">
      <c r="A267" s="102">
        <v>15202000</v>
      </c>
      <c r="B267" s="106" t="s">
        <v>193</v>
      </c>
      <c r="C267">
        <f>IF('Change Request Form'!$N$34="",0,COUNTIF(B267,"*"&amp;'Change Request Form'!$N$34&amp;"*"))</f>
        <v>0</v>
      </c>
    </row>
    <row r="268" spans="1:4">
      <c r="A268" s="102">
        <v>7422051</v>
      </c>
      <c r="B268" s="106" t="s">
        <v>193</v>
      </c>
      <c r="C268">
        <f>IF('Change Request Form'!$N$34="",0,COUNTIF(B268,"*"&amp;'Change Request Form'!$N$34&amp;"*"))</f>
        <v>0</v>
      </c>
    </row>
    <row r="269" spans="1:4">
      <c r="A269" s="102">
        <v>10778000</v>
      </c>
      <c r="B269" s="106" t="s">
        <v>194</v>
      </c>
      <c r="C269">
        <f>IF('Change Request Form'!$N$34="",0,COUNTIF(B269,"*"&amp;'Change Request Form'!$N$34&amp;"*"))</f>
        <v>0</v>
      </c>
    </row>
    <row r="270" spans="1:4">
      <c r="A270" s="102">
        <v>15205000</v>
      </c>
      <c r="B270" s="106" t="s">
        <v>194</v>
      </c>
      <c r="C270">
        <f>IF('Change Request Form'!$N$34="",0,COUNTIF(B270,"*"&amp;'Change Request Form'!$N$34&amp;"*"))</f>
        <v>0</v>
      </c>
    </row>
    <row r="271" spans="1:4">
      <c r="A271" s="102">
        <v>4357021</v>
      </c>
      <c r="B271" s="106" t="s">
        <v>194</v>
      </c>
      <c r="C271">
        <f>IF('Change Request Form'!$N$34="",0,COUNTIF(B271,"*"&amp;'Change Request Form'!$N$34&amp;"*"))</f>
        <v>0</v>
      </c>
    </row>
    <row r="272" spans="1:4">
      <c r="A272" s="102">
        <v>6008069</v>
      </c>
      <c r="B272" s="106" t="s">
        <v>195</v>
      </c>
      <c r="C272">
        <f>IF('Change Request Form'!$N$34="",0,COUNTIF(B272,"*"&amp;'Change Request Form'!$N$34&amp;"*"))</f>
        <v>0</v>
      </c>
    </row>
    <row r="273" spans="1:3">
      <c r="A273" s="102">
        <v>4801</v>
      </c>
      <c r="B273" s="106" t="s">
        <v>196</v>
      </c>
      <c r="C273">
        <f>IF('Change Request Form'!$N$34="",0,COUNTIF(B273,"*"&amp;'Change Request Form'!$N$34&amp;"*"))</f>
        <v>0</v>
      </c>
    </row>
    <row r="274" spans="1:3">
      <c r="A274" s="102">
        <v>4525</v>
      </c>
      <c r="B274" s="106" t="s">
        <v>196</v>
      </c>
      <c r="C274">
        <f>IF('Change Request Form'!$N$34="",0,COUNTIF(B274,"*"&amp;'Change Request Form'!$N$34&amp;"*"))</f>
        <v>0</v>
      </c>
    </row>
    <row r="275" spans="1:3">
      <c r="A275" s="102">
        <v>9991101</v>
      </c>
      <c r="B275" s="106" t="s">
        <v>196</v>
      </c>
      <c r="C275">
        <f>IF('Change Request Form'!$N$34="",0,COUNTIF(B275,"*"&amp;'Change Request Form'!$N$34&amp;"*"))</f>
        <v>0</v>
      </c>
    </row>
    <row r="276" spans="1:3">
      <c r="A276" s="102">
        <v>4194</v>
      </c>
      <c r="B276" s="106" t="s">
        <v>196</v>
      </c>
      <c r="C276">
        <f>IF('Change Request Form'!$N$34="",0,COUNTIF(B276,"*"&amp;'Change Request Form'!$N$34&amp;"*"))</f>
        <v>0</v>
      </c>
    </row>
    <row r="277" spans="1:3">
      <c r="A277" s="102">
        <v>4188</v>
      </c>
      <c r="B277" s="106" t="s">
        <v>196</v>
      </c>
      <c r="C277">
        <f>IF('Change Request Form'!$N$34="",0,COUNTIF(B277,"*"&amp;'Change Request Form'!$N$34&amp;"*"))</f>
        <v>0</v>
      </c>
    </row>
    <row r="278" spans="1:3">
      <c r="A278" s="102">
        <v>9991103</v>
      </c>
      <c r="B278" s="106" t="s">
        <v>197</v>
      </c>
      <c r="C278">
        <f>IF('Change Request Form'!$N$34="",0,COUNTIF(B278,"*"&amp;'Change Request Form'!$N$34&amp;"*"))</f>
        <v>0</v>
      </c>
    </row>
    <row r="279" spans="1:3">
      <c r="A279" s="102">
        <v>70177</v>
      </c>
      <c r="B279" s="106" t="s">
        <v>197</v>
      </c>
      <c r="C279">
        <f>IF('Change Request Form'!$N$34="",0,COUNTIF(B279,"*"&amp;'Change Request Form'!$N$34&amp;"*"))</f>
        <v>0</v>
      </c>
    </row>
    <row r="280" spans="1:3">
      <c r="A280" s="102">
        <v>70120</v>
      </c>
      <c r="B280" s="106" t="s">
        <v>197</v>
      </c>
      <c r="C280">
        <f>IF('Change Request Form'!$N$34="",0,COUNTIF(B280,"*"&amp;'Change Request Form'!$N$34&amp;"*"))</f>
        <v>0</v>
      </c>
    </row>
    <row r="281" spans="1:3">
      <c r="A281" s="102">
        <v>7076004</v>
      </c>
      <c r="B281" s="106" t="s">
        <v>198</v>
      </c>
      <c r="C281">
        <f>IF('Change Request Form'!$N$34="",0,COUNTIF(B281,"*"&amp;'Change Request Form'!$N$34&amp;"*"))</f>
        <v>0</v>
      </c>
    </row>
    <row r="282" spans="1:3">
      <c r="A282" s="102">
        <v>5358039</v>
      </c>
      <c r="B282" s="106" t="s">
        <v>199</v>
      </c>
      <c r="C282">
        <f>IF('Change Request Form'!$N$34="",0,COUNTIF(B282,"*"&amp;'Change Request Form'!$N$34&amp;"*"))</f>
        <v>0</v>
      </c>
    </row>
    <row r="283" spans="1:3">
      <c r="A283" s="102">
        <v>1809118</v>
      </c>
      <c r="B283" s="106" t="s">
        <v>200</v>
      </c>
      <c r="C283">
        <f>IF('Change Request Form'!$N$34="",0,COUNTIF(B283,"*"&amp;'Change Request Form'!$N$34&amp;"*"))</f>
        <v>0</v>
      </c>
    </row>
    <row r="284" spans="1:3">
      <c r="A284" s="102">
        <v>132080</v>
      </c>
      <c r="B284" s="106" t="s">
        <v>201</v>
      </c>
      <c r="C284">
        <f>IF('Change Request Form'!$N$34="",0,COUNTIF(B284,"*"&amp;'Change Request Form'!$N$34&amp;"*"))</f>
        <v>0</v>
      </c>
    </row>
    <row r="285" spans="1:3">
      <c r="A285" s="102">
        <v>5950013</v>
      </c>
      <c r="B285" s="106" t="s">
        <v>201</v>
      </c>
      <c r="C285">
        <f>IF('Change Request Form'!$N$34="",0,COUNTIF(B285,"*"&amp;'Change Request Form'!$N$34&amp;"*"))</f>
        <v>0</v>
      </c>
    </row>
    <row r="286" spans="1:3">
      <c r="A286" s="102">
        <v>132162</v>
      </c>
      <c r="B286" s="106" t="s">
        <v>202</v>
      </c>
      <c r="C286">
        <f>IF('Change Request Form'!$N$34="",0,COUNTIF(B286,"*"&amp;'Change Request Form'!$N$34&amp;"*"))</f>
        <v>0</v>
      </c>
    </row>
    <row r="287" spans="1:3">
      <c r="A287" s="102">
        <v>2679059</v>
      </c>
      <c r="B287" s="106" t="s">
        <v>203</v>
      </c>
      <c r="C287">
        <f>IF('Change Request Form'!$N$34="",0,COUNTIF(B287,"*"&amp;'Change Request Form'!$N$34&amp;"*"))</f>
        <v>0</v>
      </c>
    </row>
    <row r="288" spans="1:3">
      <c r="A288" s="102">
        <v>45060</v>
      </c>
      <c r="B288" s="106" t="s">
        <v>204</v>
      </c>
      <c r="C288">
        <f>IF('Change Request Form'!$N$34="",0,COUNTIF(B288,"*"&amp;'Change Request Form'!$N$34&amp;"*"))</f>
        <v>0</v>
      </c>
    </row>
    <row r="289" spans="1:4">
      <c r="A289" s="102">
        <v>10181037</v>
      </c>
      <c r="B289" s="106" t="s">
        <v>205</v>
      </c>
      <c r="C289">
        <f>IF('Change Request Form'!$N$34="",0,COUNTIF(B289,"*"&amp;'Change Request Form'!$N$34&amp;"*"))</f>
        <v>0</v>
      </c>
    </row>
    <row r="290" spans="1:4">
      <c r="A290" s="102">
        <v>10181042</v>
      </c>
      <c r="B290" s="106" t="s">
        <v>205</v>
      </c>
      <c r="C290">
        <f>IF('Change Request Form'!$N$34="",0,COUNTIF(B290,"*"&amp;'Change Request Form'!$N$34&amp;"*"))</f>
        <v>0</v>
      </c>
    </row>
    <row r="291" spans="1:4">
      <c r="A291" s="102">
        <v>10181027</v>
      </c>
      <c r="B291" s="106" t="s">
        <v>205</v>
      </c>
      <c r="C291">
        <f>IF('Change Request Form'!$N$34="",0,COUNTIF(B291,"*"&amp;'Change Request Form'!$N$34&amp;"*"))</f>
        <v>0</v>
      </c>
    </row>
    <row r="292" spans="1:4">
      <c r="A292" s="102">
        <v>10181039</v>
      </c>
      <c r="B292" s="106" t="s">
        <v>205</v>
      </c>
      <c r="C292">
        <f>IF('Change Request Form'!$N$34="",0,COUNTIF(B292,"*"&amp;'Change Request Form'!$N$34&amp;"*"))</f>
        <v>0</v>
      </c>
    </row>
    <row r="293" spans="1:4">
      <c r="A293" s="102">
        <v>264102</v>
      </c>
      <c r="B293" s="106" t="s">
        <v>206</v>
      </c>
      <c r="C293">
        <f>IF('Change Request Form'!$N$34="",0,COUNTIF(B293,"*"&amp;'Change Request Form'!$N$34&amp;"*"))</f>
        <v>0</v>
      </c>
    </row>
    <row r="294" spans="1:4">
      <c r="A294" s="102">
        <v>264103</v>
      </c>
      <c r="B294" s="106" t="s">
        <v>206</v>
      </c>
      <c r="C294">
        <f>IF('Change Request Form'!$N$34="",0,COUNTIF(B294,"*"&amp;'Change Request Form'!$N$34&amp;"*"))</f>
        <v>0</v>
      </c>
    </row>
    <row r="295" spans="1:4">
      <c r="A295" s="102">
        <v>4325004</v>
      </c>
      <c r="B295" s="106" t="s">
        <v>207</v>
      </c>
      <c r="C295">
        <f>IF('Change Request Form'!$N$34="",0,COUNTIF(B295,"*"&amp;'Change Request Form'!$N$34&amp;"*"))</f>
        <v>0</v>
      </c>
      <c r="D295" s="91">
        <v>1</v>
      </c>
    </row>
    <row r="296" spans="1:4">
      <c r="A296" s="102">
        <v>4325000</v>
      </c>
      <c r="B296" s="106" t="s">
        <v>207</v>
      </c>
      <c r="C296">
        <f>IF('Change Request Form'!$N$34="",0,COUNTIF(B296,"*"&amp;'Change Request Form'!$N$34&amp;"*"))</f>
        <v>0</v>
      </c>
      <c r="D296" s="91">
        <v>1</v>
      </c>
    </row>
    <row r="297" spans="1:4">
      <c r="A297" s="102">
        <v>117411</v>
      </c>
      <c r="B297" s="106" t="s">
        <v>207</v>
      </c>
      <c r="C297">
        <f>IF('Change Request Form'!$N$34="",0,COUNTIF(B297,"*"&amp;'Change Request Form'!$N$34&amp;"*"))</f>
        <v>0</v>
      </c>
      <c r="D297" s="91">
        <v>1</v>
      </c>
    </row>
    <row r="298" spans="1:4">
      <c r="A298" s="102">
        <v>4340029</v>
      </c>
      <c r="B298" s="106" t="s">
        <v>208</v>
      </c>
      <c r="C298">
        <f>IF('Change Request Form'!$N$34="",0,COUNTIF(B298,"*"&amp;'Change Request Form'!$N$34&amp;"*"))</f>
        <v>0</v>
      </c>
    </row>
    <row r="299" spans="1:4">
      <c r="A299" s="102">
        <v>4340032</v>
      </c>
      <c r="B299" s="106" t="s">
        <v>208</v>
      </c>
      <c r="C299">
        <f>IF('Change Request Form'!$N$34="",0,COUNTIF(B299,"*"&amp;'Change Request Form'!$N$34&amp;"*"))</f>
        <v>0</v>
      </c>
    </row>
    <row r="300" spans="1:4">
      <c r="A300" s="102">
        <v>4340018</v>
      </c>
      <c r="B300" s="106" t="s">
        <v>208</v>
      </c>
      <c r="C300">
        <f>IF('Change Request Form'!$N$34="",0,COUNTIF(B300,"*"&amp;'Change Request Form'!$N$34&amp;"*"))</f>
        <v>0</v>
      </c>
    </row>
    <row r="301" spans="1:4">
      <c r="A301" s="102">
        <v>233223</v>
      </c>
      <c r="B301" s="106" t="s">
        <v>209</v>
      </c>
      <c r="C301">
        <f>IF('Change Request Form'!$N$34="",0,COUNTIF(B301,"*"&amp;'Change Request Form'!$N$34&amp;"*"))</f>
        <v>0</v>
      </c>
    </row>
    <row r="302" spans="1:4">
      <c r="A302" s="102">
        <v>233209</v>
      </c>
      <c r="B302" s="106" t="s">
        <v>209</v>
      </c>
      <c r="C302">
        <f>IF('Change Request Form'!$N$34="",0,COUNTIF(B302,"*"&amp;'Change Request Form'!$N$34&amp;"*"))</f>
        <v>0</v>
      </c>
    </row>
    <row r="303" spans="1:4">
      <c r="A303" s="102">
        <v>117407</v>
      </c>
      <c r="B303" s="106" t="s">
        <v>210</v>
      </c>
      <c r="C303">
        <f>IF('Change Request Form'!$N$34="",0,COUNTIF(B303,"*"&amp;'Change Request Form'!$N$34&amp;"*"))</f>
        <v>0</v>
      </c>
      <c r="D303" s="91">
        <v>1</v>
      </c>
    </row>
    <row r="304" spans="1:4">
      <c r="A304" s="102">
        <v>117424</v>
      </c>
      <c r="B304" s="106" t="s">
        <v>210</v>
      </c>
      <c r="C304">
        <f>IF('Change Request Form'!$N$34="",0,COUNTIF(B304,"*"&amp;'Change Request Form'!$N$34&amp;"*"))</f>
        <v>0</v>
      </c>
      <c r="D304" s="91">
        <v>1</v>
      </c>
    </row>
    <row r="305" spans="1:4">
      <c r="A305" s="102">
        <v>117412</v>
      </c>
      <c r="B305" s="106" t="s">
        <v>210</v>
      </c>
      <c r="C305">
        <f>IF('Change Request Form'!$N$34="",0,COUNTIF(B305,"*"&amp;'Change Request Form'!$N$34&amp;"*"))</f>
        <v>0</v>
      </c>
      <c r="D305" s="91">
        <v>1</v>
      </c>
    </row>
    <row r="306" spans="1:4">
      <c r="A306" s="102">
        <v>117363</v>
      </c>
      <c r="B306" s="106" t="s">
        <v>210</v>
      </c>
      <c r="C306">
        <f>IF('Change Request Form'!$N$34="",0,COUNTIF(B306,"*"&amp;'Change Request Form'!$N$34&amp;"*"))</f>
        <v>0</v>
      </c>
      <c r="D306" s="91">
        <v>1</v>
      </c>
    </row>
    <row r="307" spans="1:4">
      <c r="A307" s="102">
        <v>116204</v>
      </c>
      <c r="B307" s="106" t="s">
        <v>211</v>
      </c>
      <c r="C307">
        <f>IF('Change Request Form'!$N$34="",0,COUNTIF(B307,"*"&amp;'Change Request Form'!$N$34&amp;"*"))</f>
        <v>0</v>
      </c>
      <c r="D307" s="91">
        <v>1</v>
      </c>
    </row>
    <row r="308" spans="1:4">
      <c r="A308" s="102">
        <v>116240</v>
      </c>
      <c r="B308" s="106" t="s">
        <v>211</v>
      </c>
      <c r="C308">
        <f>IF('Change Request Form'!$N$34="",0,COUNTIF(B308,"*"&amp;'Change Request Form'!$N$34&amp;"*"))</f>
        <v>0</v>
      </c>
      <c r="D308" s="91">
        <v>1</v>
      </c>
    </row>
    <row r="309" spans="1:4">
      <c r="A309" s="102">
        <v>116210</v>
      </c>
      <c r="B309" s="106" t="s">
        <v>211</v>
      </c>
      <c r="C309">
        <f>IF('Change Request Form'!$N$34="",0,COUNTIF(B309,"*"&amp;'Change Request Form'!$N$34&amp;"*"))</f>
        <v>0</v>
      </c>
      <c r="D309" s="91">
        <v>1</v>
      </c>
    </row>
    <row r="310" spans="1:4">
      <c r="A310" s="102">
        <v>3270033</v>
      </c>
      <c r="B310" s="106" t="s">
        <v>212</v>
      </c>
      <c r="C310">
        <f>IF('Change Request Form'!$N$34="",0,COUNTIF(B310,"*"&amp;'Change Request Form'!$N$34&amp;"*"))</f>
        <v>1</v>
      </c>
    </row>
    <row r="311" spans="1:4">
      <c r="A311" s="102">
        <v>2254027</v>
      </c>
      <c r="B311" s="106" t="s">
        <v>213</v>
      </c>
      <c r="C311">
        <f>IF('Change Request Form'!$N$34="",0,COUNTIF(B311,"*"&amp;'Change Request Form'!$N$34&amp;"*"))</f>
        <v>0</v>
      </c>
    </row>
    <row r="312" spans="1:4">
      <c r="A312" s="102">
        <v>2087290</v>
      </c>
      <c r="B312" s="106" t="s">
        <v>214</v>
      </c>
      <c r="C312">
        <f>IF('Change Request Form'!$N$34="",0,COUNTIF(B312,"*"&amp;'Change Request Form'!$N$34&amp;"*"))</f>
        <v>0</v>
      </c>
    </row>
    <row r="313" spans="1:4">
      <c r="A313" s="102">
        <v>487012</v>
      </c>
      <c r="B313" s="106" t="s">
        <v>215</v>
      </c>
      <c r="C313">
        <f>IF('Change Request Form'!$N$34="",0,COUNTIF(B313,"*"&amp;'Change Request Form'!$N$34&amp;"*"))</f>
        <v>0</v>
      </c>
    </row>
    <row r="314" spans="1:4">
      <c r="A314" s="102">
        <v>14015001</v>
      </c>
      <c r="B314" s="106" t="s">
        <v>216</v>
      </c>
      <c r="C314">
        <f>IF('Change Request Form'!$N$34="",0,COUNTIF(B314,"*"&amp;'Change Request Form'!$N$34&amp;"*"))</f>
        <v>0</v>
      </c>
    </row>
    <row r="315" spans="1:4">
      <c r="A315" s="102">
        <v>14015000</v>
      </c>
      <c r="B315" s="106" t="s">
        <v>217</v>
      </c>
      <c r="C315">
        <f>IF('Change Request Form'!$N$34="",0,COUNTIF(B315,"*"&amp;'Change Request Form'!$N$34&amp;"*"))</f>
        <v>0</v>
      </c>
    </row>
    <row r="316" spans="1:4">
      <c r="A316" s="102">
        <v>6477075</v>
      </c>
      <c r="B316" s="106" t="s">
        <v>218</v>
      </c>
      <c r="C316">
        <f>IF('Change Request Form'!$N$34="",0,COUNTIF(B316,"*"&amp;'Change Request Form'!$N$34&amp;"*"))</f>
        <v>0</v>
      </c>
    </row>
    <row r="317" spans="1:4">
      <c r="A317" s="102">
        <v>7561078</v>
      </c>
      <c r="B317" s="106" t="s">
        <v>219</v>
      </c>
      <c r="C317">
        <f>IF('Change Request Form'!$N$34="",0,COUNTIF(B317,"*"&amp;'Change Request Form'!$N$34&amp;"*"))</f>
        <v>0</v>
      </c>
    </row>
    <row r="318" spans="1:4">
      <c r="A318" s="102">
        <v>2601109</v>
      </c>
      <c r="B318" s="106" t="s">
        <v>220</v>
      </c>
      <c r="C318">
        <f>IF('Change Request Form'!$N$34="",0,COUNTIF(B318,"*"&amp;'Change Request Form'!$N$34&amp;"*"))</f>
        <v>0</v>
      </c>
    </row>
    <row r="319" spans="1:4">
      <c r="A319" s="102">
        <v>12013006</v>
      </c>
      <c r="B319" s="106" t="s">
        <v>221</v>
      </c>
      <c r="C319">
        <f>IF('Change Request Form'!$N$34="",0,COUNTIF(B319,"*"&amp;'Change Request Form'!$N$34&amp;"*"))</f>
        <v>0</v>
      </c>
    </row>
    <row r="320" spans="1:4">
      <c r="A320" s="102">
        <v>5719012</v>
      </c>
      <c r="B320" s="106" t="s">
        <v>222</v>
      </c>
      <c r="C320">
        <f>IF('Change Request Form'!$N$34="",0,COUNTIF(B320,"*"&amp;'Change Request Form'!$N$34&amp;"*"))</f>
        <v>0</v>
      </c>
    </row>
    <row r="321" spans="1:3">
      <c r="A321" s="102">
        <v>13853001</v>
      </c>
      <c r="B321" s="106" t="s">
        <v>223</v>
      </c>
      <c r="C321">
        <f>IF('Change Request Form'!$N$34="",0,COUNTIF(B321,"*"&amp;'Change Request Form'!$N$34&amp;"*"))</f>
        <v>0</v>
      </c>
    </row>
    <row r="322" spans="1:3">
      <c r="A322" s="102">
        <v>8482054</v>
      </c>
      <c r="B322" s="106" t="s">
        <v>224</v>
      </c>
      <c r="C322">
        <f>IF('Change Request Form'!$N$34="",0,COUNTIF(B322,"*"&amp;'Change Request Form'!$N$34&amp;"*"))</f>
        <v>0</v>
      </c>
    </row>
    <row r="323" spans="1:3">
      <c r="A323" s="102">
        <v>16479001</v>
      </c>
      <c r="B323" s="106" t="s">
        <v>225</v>
      </c>
      <c r="C323">
        <f>IF('Change Request Form'!$N$34="",0,COUNTIF(B323,"*"&amp;'Change Request Form'!$N$34&amp;"*"))</f>
        <v>0</v>
      </c>
    </row>
    <row r="324" spans="1:3">
      <c r="A324" s="102">
        <v>12495004</v>
      </c>
      <c r="B324" s="106" t="s">
        <v>226</v>
      </c>
      <c r="C324">
        <f>IF('Change Request Form'!$N$34="",0,COUNTIF(B324,"*"&amp;'Change Request Form'!$N$34&amp;"*"))</f>
        <v>0</v>
      </c>
    </row>
    <row r="325" spans="1:3">
      <c r="A325" s="102">
        <v>8482053</v>
      </c>
      <c r="B325" s="106" t="s">
        <v>227</v>
      </c>
      <c r="C325">
        <f>IF('Change Request Form'!$N$34="",0,COUNTIF(B325,"*"&amp;'Change Request Form'!$N$34&amp;"*"))</f>
        <v>0</v>
      </c>
    </row>
    <row r="326" spans="1:3">
      <c r="A326" s="102">
        <v>14076</v>
      </c>
      <c r="B326" s="106" t="s">
        <v>228</v>
      </c>
      <c r="C326">
        <f>IF('Change Request Form'!$N$34="",0,COUNTIF(B326,"*"&amp;'Change Request Form'!$N$34&amp;"*"))</f>
        <v>0</v>
      </c>
    </row>
    <row r="327" spans="1:3">
      <c r="A327" s="102">
        <v>14052</v>
      </c>
      <c r="B327" s="106" t="s">
        <v>228</v>
      </c>
      <c r="C327">
        <f>IF('Change Request Form'!$N$34="",0,COUNTIF(B327,"*"&amp;'Change Request Form'!$N$34&amp;"*"))</f>
        <v>0</v>
      </c>
    </row>
    <row r="328" spans="1:3">
      <c r="A328" s="102">
        <v>14029</v>
      </c>
      <c r="B328" s="106" t="s">
        <v>228</v>
      </c>
      <c r="C328">
        <f>IF('Change Request Form'!$N$34="",0,COUNTIF(B328,"*"&amp;'Change Request Form'!$N$34&amp;"*"))</f>
        <v>0</v>
      </c>
    </row>
    <row r="329" spans="1:3">
      <c r="A329" s="102">
        <v>193483</v>
      </c>
      <c r="B329" s="106" t="s">
        <v>229</v>
      </c>
      <c r="C329">
        <f>IF('Change Request Form'!$N$34="",0,COUNTIF(B329,"*"&amp;'Change Request Form'!$N$34&amp;"*"))</f>
        <v>0</v>
      </c>
    </row>
    <row r="330" spans="1:3">
      <c r="A330" s="102">
        <v>3237086</v>
      </c>
      <c r="B330" s="106" t="s">
        <v>230</v>
      </c>
      <c r="C330">
        <f>IF('Change Request Form'!$N$34="",0,COUNTIF(B330,"*"&amp;'Change Request Form'!$N$34&amp;"*"))</f>
        <v>0</v>
      </c>
    </row>
    <row r="331" spans="1:3">
      <c r="A331" s="102">
        <v>3237176</v>
      </c>
      <c r="B331" s="106" t="s">
        <v>230</v>
      </c>
      <c r="C331">
        <f>IF('Change Request Form'!$N$34="",0,COUNTIF(B331,"*"&amp;'Change Request Form'!$N$34&amp;"*"))</f>
        <v>0</v>
      </c>
    </row>
    <row r="332" spans="1:3">
      <c r="A332" s="102">
        <v>3237083</v>
      </c>
      <c r="B332" s="106" t="s">
        <v>230</v>
      </c>
      <c r="C332">
        <f>IF('Change Request Form'!$N$34="",0,COUNTIF(B332,"*"&amp;'Change Request Form'!$N$34&amp;"*"))</f>
        <v>0</v>
      </c>
    </row>
    <row r="333" spans="1:3">
      <c r="A333" s="102">
        <v>3237173</v>
      </c>
      <c r="B333" s="106" t="s">
        <v>230</v>
      </c>
      <c r="C333">
        <f>IF('Change Request Form'!$N$34="",0,COUNTIF(B333,"*"&amp;'Change Request Form'!$N$34&amp;"*"))</f>
        <v>0</v>
      </c>
    </row>
    <row r="334" spans="1:3">
      <c r="A334" s="102">
        <v>6316104</v>
      </c>
      <c r="B334" s="106" t="s">
        <v>231</v>
      </c>
      <c r="C334">
        <f>IF('Change Request Form'!$N$34="",0,COUNTIF(B334,"*"&amp;'Change Request Form'!$N$34&amp;"*"))</f>
        <v>0</v>
      </c>
    </row>
    <row r="335" spans="1:3">
      <c r="A335" s="102">
        <v>76035</v>
      </c>
      <c r="B335" s="106" t="s">
        <v>232</v>
      </c>
      <c r="C335">
        <f>IF('Change Request Form'!$N$34="",0,COUNTIF(B335,"*"&amp;'Change Request Form'!$N$34&amp;"*"))</f>
        <v>0</v>
      </c>
    </row>
    <row r="336" spans="1:3">
      <c r="A336" s="102">
        <v>3858105</v>
      </c>
      <c r="B336" s="106" t="s">
        <v>233</v>
      </c>
      <c r="C336">
        <f>IF('Change Request Form'!$N$34="",0,COUNTIF(B336,"*"&amp;'Change Request Form'!$N$34&amp;"*"))</f>
        <v>0</v>
      </c>
    </row>
    <row r="337" spans="1:4">
      <c r="A337" s="102">
        <v>394015</v>
      </c>
      <c r="B337" s="106" t="s">
        <v>234</v>
      </c>
      <c r="C337">
        <f>IF('Change Request Form'!$N$34="",0,COUNTIF(B337,"*"&amp;'Change Request Form'!$N$34&amp;"*"))</f>
        <v>0</v>
      </c>
    </row>
    <row r="338" spans="1:4">
      <c r="A338" s="102">
        <v>364104</v>
      </c>
      <c r="B338" s="106" t="s">
        <v>235</v>
      </c>
      <c r="C338">
        <f>IF('Change Request Form'!$N$34="",0,COUNTIF(B338,"*"&amp;'Change Request Form'!$N$34&amp;"*"))</f>
        <v>0</v>
      </c>
      <c r="D338" s="91">
        <v>1</v>
      </c>
    </row>
    <row r="339" spans="1:4">
      <c r="A339" s="102">
        <v>364106</v>
      </c>
      <c r="B339" s="106" t="s">
        <v>235</v>
      </c>
      <c r="C339">
        <f>IF('Change Request Form'!$N$34="",0,COUNTIF(B339,"*"&amp;'Change Request Form'!$N$34&amp;"*"))</f>
        <v>0</v>
      </c>
      <c r="D339" s="91">
        <v>1</v>
      </c>
    </row>
    <row r="340" spans="1:4">
      <c r="A340" s="102">
        <v>8797010</v>
      </c>
      <c r="B340" s="106" t="s">
        <v>236</v>
      </c>
      <c r="C340">
        <f>IF('Change Request Form'!$N$34="",0,COUNTIF(B340,"*"&amp;'Change Request Form'!$N$34&amp;"*"))</f>
        <v>0</v>
      </c>
      <c r="D340" s="91">
        <v>1</v>
      </c>
    </row>
    <row r="341" spans="1:4">
      <c r="A341" s="102">
        <v>1214100</v>
      </c>
      <c r="B341" s="106" t="s">
        <v>237</v>
      </c>
      <c r="C341">
        <f>IF('Change Request Form'!$N$34="",0,COUNTIF(B341,"*"&amp;'Change Request Form'!$N$34&amp;"*"))</f>
        <v>0</v>
      </c>
    </row>
    <row r="342" spans="1:4">
      <c r="A342" s="102">
        <v>1214101</v>
      </c>
      <c r="B342" s="106" t="s">
        <v>237</v>
      </c>
      <c r="C342">
        <f>IF('Change Request Form'!$N$34="",0,COUNTIF(B342,"*"&amp;'Change Request Form'!$N$34&amp;"*"))</f>
        <v>0</v>
      </c>
    </row>
    <row r="343" spans="1:4">
      <c r="A343" s="102">
        <v>1131018</v>
      </c>
      <c r="B343" s="106" t="s">
        <v>238</v>
      </c>
      <c r="C343">
        <f>IF('Change Request Form'!$N$34="",0,COUNTIF(B343,"*"&amp;'Change Request Form'!$N$34&amp;"*"))</f>
        <v>0</v>
      </c>
    </row>
    <row r="344" spans="1:4">
      <c r="A344" s="102">
        <v>12291</v>
      </c>
      <c r="B344" s="106" t="s">
        <v>239</v>
      </c>
      <c r="C344">
        <f>IF('Change Request Form'!$N$34="",0,COUNTIF(B344,"*"&amp;'Change Request Form'!$N$34&amp;"*"))</f>
        <v>0</v>
      </c>
    </row>
    <row r="345" spans="1:4">
      <c r="A345" s="102">
        <v>4949018</v>
      </c>
      <c r="B345" s="106" t="s">
        <v>240</v>
      </c>
      <c r="C345">
        <f>IF('Change Request Form'!$N$34="",0,COUNTIF(B345,"*"&amp;'Change Request Form'!$N$34&amp;"*"))</f>
        <v>0</v>
      </c>
      <c r="D345" s="91">
        <v>1</v>
      </c>
    </row>
    <row r="346" spans="1:4">
      <c r="A346" s="102">
        <v>670103</v>
      </c>
      <c r="B346" s="106" t="s">
        <v>241</v>
      </c>
      <c r="C346">
        <f>IF('Change Request Form'!$N$34="",0,COUNTIF(B346,"*"&amp;'Change Request Form'!$N$34&amp;"*"))</f>
        <v>0</v>
      </c>
      <c r="D346" s="91">
        <v>1</v>
      </c>
    </row>
    <row r="347" spans="1:4">
      <c r="A347" s="102">
        <v>670105</v>
      </c>
      <c r="B347" s="106" t="s">
        <v>241</v>
      </c>
      <c r="C347">
        <f>IF('Change Request Form'!$N$34="",0,COUNTIF(B347,"*"&amp;'Change Request Form'!$N$34&amp;"*"))</f>
        <v>0</v>
      </c>
      <c r="D347" s="91">
        <v>1</v>
      </c>
    </row>
    <row r="348" spans="1:4">
      <c r="A348" s="102">
        <v>437278</v>
      </c>
      <c r="B348" s="106" t="s">
        <v>242</v>
      </c>
      <c r="C348">
        <f>IF('Change Request Form'!$N$34="",0,COUNTIF(B348,"*"&amp;'Change Request Form'!$N$34&amp;"*"))</f>
        <v>0</v>
      </c>
      <c r="D348" s="91">
        <v>1</v>
      </c>
    </row>
    <row r="349" spans="1:4">
      <c r="A349" s="102">
        <v>437279</v>
      </c>
      <c r="B349" s="106" t="s">
        <v>242</v>
      </c>
      <c r="C349">
        <f>IF('Change Request Form'!$N$34="",0,COUNTIF(B349,"*"&amp;'Change Request Form'!$N$34&amp;"*"))</f>
        <v>0</v>
      </c>
      <c r="D349" s="91">
        <v>1</v>
      </c>
    </row>
    <row r="350" spans="1:4">
      <c r="A350" s="102">
        <v>1144066</v>
      </c>
      <c r="B350" s="106" t="s">
        <v>243</v>
      </c>
      <c r="C350">
        <f>IF('Change Request Form'!$N$34="",0,COUNTIF(B350,"*"&amp;'Change Request Form'!$N$34&amp;"*"))</f>
        <v>0</v>
      </c>
    </row>
    <row r="351" spans="1:4">
      <c r="A351" s="102">
        <v>1144075</v>
      </c>
      <c r="B351" s="106" t="s">
        <v>243</v>
      </c>
      <c r="C351">
        <f>IF('Change Request Form'!$N$34="",0,COUNTIF(B351,"*"&amp;'Change Request Form'!$N$34&amp;"*"))</f>
        <v>0</v>
      </c>
    </row>
    <row r="352" spans="1:4">
      <c r="A352" s="102">
        <v>1144072</v>
      </c>
      <c r="B352" s="106" t="s">
        <v>243</v>
      </c>
      <c r="C352">
        <f>IF('Change Request Form'!$N$34="",0,COUNTIF(B352,"*"&amp;'Change Request Form'!$N$34&amp;"*"))</f>
        <v>0</v>
      </c>
    </row>
    <row r="353" spans="1:4">
      <c r="A353" s="102">
        <v>1144069</v>
      </c>
      <c r="B353" s="106" t="s">
        <v>243</v>
      </c>
      <c r="C353">
        <f>IF('Change Request Form'!$N$34="",0,COUNTIF(B353,"*"&amp;'Change Request Form'!$N$34&amp;"*"))</f>
        <v>0</v>
      </c>
    </row>
    <row r="354" spans="1:4">
      <c r="A354" s="102">
        <v>1144054</v>
      </c>
      <c r="B354" s="106" t="s">
        <v>243</v>
      </c>
      <c r="C354">
        <f>IF('Change Request Form'!$N$34="",0,COUNTIF(B354,"*"&amp;'Change Request Form'!$N$34&amp;"*"))</f>
        <v>0</v>
      </c>
    </row>
    <row r="355" spans="1:4">
      <c r="A355" s="102">
        <v>8163048</v>
      </c>
      <c r="B355" s="106" t="s">
        <v>244</v>
      </c>
      <c r="C355">
        <f>IF('Change Request Form'!$N$34="",0,COUNTIF(B355,"*"&amp;'Change Request Form'!$N$34&amp;"*"))</f>
        <v>0</v>
      </c>
      <c r="D355" s="91">
        <v>1</v>
      </c>
    </row>
    <row r="356" spans="1:4">
      <c r="A356" s="102">
        <v>8163054</v>
      </c>
      <c r="B356" s="106" t="s">
        <v>244</v>
      </c>
      <c r="C356">
        <f>IF('Change Request Form'!$N$34="",0,COUNTIF(B356,"*"&amp;'Change Request Form'!$N$34&amp;"*"))</f>
        <v>0</v>
      </c>
      <c r="D356" s="91">
        <v>1</v>
      </c>
    </row>
    <row r="357" spans="1:4">
      <c r="A357" s="102">
        <v>8163055</v>
      </c>
      <c r="B357" s="106" t="s">
        <v>244</v>
      </c>
      <c r="C357">
        <f>IF('Change Request Form'!$N$34="",0,COUNTIF(B357,"*"&amp;'Change Request Form'!$N$34&amp;"*"))</f>
        <v>0</v>
      </c>
      <c r="D357" s="91">
        <v>1</v>
      </c>
    </row>
    <row r="358" spans="1:4">
      <c r="A358" s="102">
        <v>18486</v>
      </c>
      <c r="B358" s="106" t="s">
        <v>245</v>
      </c>
      <c r="C358">
        <f>IF('Change Request Form'!$N$34="",0,COUNTIF(B358,"*"&amp;'Change Request Form'!$N$34&amp;"*"))</f>
        <v>0</v>
      </c>
    </row>
    <row r="359" spans="1:4">
      <c r="A359" s="102">
        <v>18559</v>
      </c>
      <c r="B359" s="106" t="s">
        <v>245</v>
      </c>
      <c r="C359">
        <f>IF('Change Request Form'!$N$34="",0,COUNTIF(B359,"*"&amp;'Change Request Form'!$N$34&amp;"*"))</f>
        <v>0</v>
      </c>
    </row>
    <row r="360" spans="1:4">
      <c r="A360" s="102">
        <v>18536</v>
      </c>
      <c r="B360" s="106" t="s">
        <v>245</v>
      </c>
      <c r="C360">
        <f>IF('Change Request Form'!$N$34="",0,COUNTIF(B360,"*"&amp;'Change Request Form'!$N$34&amp;"*"))</f>
        <v>0</v>
      </c>
    </row>
    <row r="361" spans="1:4">
      <c r="A361" s="102">
        <v>18450</v>
      </c>
      <c r="B361" s="106" t="s">
        <v>245</v>
      </c>
      <c r="C361">
        <f>IF('Change Request Form'!$N$34="",0,COUNTIF(B361,"*"&amp;'Change Request Form'!$N$34&amp;"*"))</f>
        <v>0</v>
      </c>
    </row>
    <row r="362" spans="1:4">
      <c r="A362" s="102">
        <v>5122104</v>
      </c>
      <c r="B362" s="106" t="s">
        <v>246</v>
      </c>
      <c r="C362">
        <f>IF('Change Request Form'!$N$34="",0,COUNTIF(B362,"*"&amp;'Change Request Form'!$N$34&amp;"*"))</f>
        <v>0</v>
      </c>
    </row>
    <row r="363" spans="1:4">
      <c r="A363" s="102">
        <v>28290</v>
      </c>
      <c r="B363" s="106" t="s">
        <v>246</v>
      </c>
      <c r="C363">
        <f>IF('Change Request Form'!$N$34="",0,COUNTIF(B363,"*"&amp;'Change Request Form'!$N$34&amp;"*"))</f>
        <v>0</v>
      </c>
    </row>
    <row r="364" spans="1:4">
      <c r="A364" s="102">
        <v>5122105</v>
      </c>
      <c r="B364" s="106" t="s">
        <v>246</v>
      </c>
      <c r="C364">
        <f>IF('Change Request Form'!$N$34="",0,COUNTIF(B364,"*"&amp;'Change Request Form'!$N$34&amp;"*"))</f>
        <v>0</v>
      </c>
    </row>
    <row r="365" spans="1:4">
      <c r="A365" s="102">
        <v>56012</v>
      </c>
      <c r="B365" s="106" t="s">
        <v>247</v>
      </c>
      <c r="C365">
        <f>IF('Change Request Form'!$N$34="",0,COUNTIF(B365,"*"&amp;'Change Request Form'!$N$34&amp;"*"))</f>
        <v>0</v>
      </c>
      <c r="D365" s="91">
        <v>1</v>
      </c>
    </row>
    <row r="366" spans="1:4">
      <c r="A366" s="102">
        <v>4183105</v>
      </c>
      <c r="B366" s="106" t="s">
        <v>248</v>
      </c>
      <c r="C366">
        <f>IF('Change Request Form'!$N$34="",0,COUNTIF(B366,"*"&amp;'Change Request Form'!$N$34&amp;"*"))</f>
        <v>0</v>
      </c>
    </row>
    <row r="367" spans="1:4">
      <c r="A367" s="102">
        <v>28286</v>
      </c>
      <c r="B367" s="106" t="s">
        <v>248</v>
      </c>
      <c r="C367">
        <f>IF('Change Request Form'!$N$34="",0,COUNTIF(B367,"*"&amp;'Change Request Form'!$N$34&amp;"*"))</f>
        <v>0</v>
      </c>
    </row>
    <row r="368" spans="1:4">
      <c r="A368" s="102">
        <v>28081</v>
      </c>
      <c r="B368" s="106" t="s">
        <v>248</v>
      </c>
      <c r="C368">
        <f>IF('Change Request Form'!$N$34="",0,COUNTIF(B368,"*"&amp;'Change Request Form'!$N$34&amp;"*"))</f>
        <v>0</v>
      </c>
    </row>
    <row r="369" spans="1:4">
      <c r="A369" s="102">
        <v>6473010</v>
      </c>
      <c r="B369" s="106" t="s">
        <v>249</v>
      </c>
      <c r="C369">
        <f>IF('Change Request Form'!$N$34="",0,COUNTIF(B369,"*"&amp;'Change Request Form'!$N$34&amp;"*"))</f>
        <v>0</v>
      </c>
    </row>
    <row r="370" spans="1:4">
      <c r="A370" s="102">
        <v>63111</v>
      </c>
      <c r="B370" s="106" t="s">
        <v>250</v>
      </c>
      <c r="C370">
        <f>IF('Change Request Form'!$N$34="",0,COUNTIF(B370,"*"&amp;'Change Request Form'!$N$34&amp;"*"))</f>
        <v>0</v>
      </c>
    </row>
    <row r="371" spans="1:4">
      <c r="A371" s="102">
        <v>5819087</v>
      </c>
      <c r="B371" s="106" t="s">
        <v>251</v>
      </c>
      <c r="C371">
        <f>IF('Change Request Form'!$N$34="",0,COUNTIF(B371,"*"&amp;'Change Request Form'!$N$34&amp;"*"))</f>
        <v>0</v>
      </c>
    </row>
    <row r="372" spans="1:4">
      <c r="A372" s="102">
        <v>134146</v>
      </c>
      <c r="B372" s="106" t="s">
        <v>251</v>
      </c>
      <c r="C372">
        <f>IF('Change Request Form'!$N$34="",0,COUNTIF(B372,"*"&amp;'Change Request Form'!$N$34&amp;"*"))</f>
        <v>0</v>
      </c>
    </row>
    <row r="373" spans="1:4">
      <c r="A373" s="102">
        <v>134795</v>
      </c>
      <c r="B373" s="106" t="s">
        <v>251</v>
      </c>
      <c r="C373">
        <f>IF('Change Request Form'!$N$34="",0,COUNTIF(B373,"*"&amp;'Change Request Form'!$N$34&amp;"*"))</f>
        <v>0</v>
      </c>
    </row>
    <row r="374" spans="1:4">
      <c r="A374" s="102">
        <v>253513</v>
      </c>
      <c r="B374" s="106" t="s">
        <v>252</v>
      </c>
      <c r="C374">
        <f>IF('Change Request Form'!$N$34="",0,COUNTIF(B374,"*"&amp;'Change Request Form'!$N$34&amp;"*"))</f>
        <v>0</v>
      </c>
      <c r="D374" s="91">
        <v>1</v>
      </c>
    </row>
    <row r="375" spans="1:4">
      <c r="A375" s="102">
        <v>253518</v>
      </c>
      <c r="B375" s="106" t="s">
        <v>252</v>
      </c>
      <c r="C375">
        <f>IF('Change Request Form'!$N$34="",0,COUNTIF(B375,"*"&amp;'Change Request Form'!$N$34&amp;"*"))</f>
        <v>0</v>
      </c>
      <c r="D375" s="91">
        <v>1</v>
      </c>
    </row>
    <row r="376" spans="1:4">
      <c r="A376" s="102">
        <v>253511</v>
      </c>
      <c r="B376" s="106" t="s">
        <v>252</v>
      </c>
      <c r="C376">
        <f>IF('Change Request Form'!$N$34="",0,COUNTIF(B376,"*"&amp;'Change Request Form'!$N$34&amp;"*"))</f>
        <v>0</v>
      </c>
      <c r="D376" s="91">
        <v>1</v>
      </c>
    </row>
    <row r="377" spans="1:4">
      <c r="A377" s="102">
        <v>7244022</v>
      </c>
      <c r="B377" s="106" t="s">
        <v>253</v>
      </c>
      <c r="C377">
        <f>IF('Change Request Form'!$N$34="",0,COUNTIF(B377,"*"&amp;'Change Request Form'!$N$34&amp;"*"))</f>
        <v>0</v>
      </c>
    </row>
    <row r="378" spans="1:4">
      <c r="A378" s="102">
        <v>55371</v>
      </c>
      <c r="B378" s="106" t="s">
        <v>254</v>
      </c>
      <c r="C378">
        <f>IF('Change Request Form'!$N$34="",0,COUNTIF(B378,"*"&amp;'Change Request Form'!$N$34&amp;"*"))</f>
        <v>0</v>
      </c>
    </row>
    <row r="379" spans="1:4">
      <c r="A379" s="102">
        <v>55372</v>
      </c>
      <c r="B379" s="106" t="s">
        <v>254</v>
      </c>
      <c r="C379">
        <f>IF('Change Request Form'!$N$34="",0,COUNTIF(B379,"*"&amp;'Change Request Form'!$N$34&amp;"*"))</f>
        <v>0</v>
      </c>
    </row>
    <row r="380" spans="1:4">
      <c r="A380" s="102">
        <v>55333</v>
      </c>
      <c r="B380" s="106" t="s">
        <v>254</v>
      </c>
      <c r="C380">
        <f>IF('Change Request Form'!$N$34="",0,COUNTIF(B380,"*"&amp;'Change Request Form'!$N$34&amp;"*"))</f>
        <v>0</v>
      </c>
    </row>
    <row r="381" spans="1:4">
      <c r="A381" s="102">
        <v>7422111</v>
      </c>
      <c r="B381" s="106" t="s">
        <v>255</v>
      </c>
      <c r="C381">
        <f>IF('Change Request Form'!$N$34="",0,COUNTIF(B381,"*"&amp;'Change Request Form'!$N$34&amp;"*"))</f>
        <v>0</v>
      </c>
    </row>
    <row r="382" spans="1:4">
      <c r="A382" s="102">
        <v>7422054</v>
      </c>
      <c r="B382" s="106" t="s">
        <v>255</v>
      </c>
      <c r="C382">
        <f>IF('Change Request Form'!$N$34="",0,COUNTIF(B382,"*"&amp;'Change Request Form'!$N$34&amp;"*"))</f>
        <v>0</v>
      </c>
    </row>
    <row r="383" spans="1:4">
      <c r="A383" s="102">
        <v>705046</v>
      </c>
      <c r="B383" s="106" t="s">
        <v>256</v>
      </c>
      <c r="C383">
        <f>IF('Change Request Form'!$N$34="",0,COUNTIF(B383,"*"&amp;'Change Request Form'!$N$34&amp;"*"))</f>
        <v>0</v>
      </c>
    </row>
    <row r="384" spans="1:4">
      <c r="A384" s="102">
        <v>4180175</v>
      </c>
      <c r="B384" s="106" t="s">
        <v>257</v>
      </c>
      <c r="C384">
        <f>IF('Change Request Form'!$N$34="",0,COUNTIF(B384,"*"&amp;'Change Request Form'!$N$34&amp;"*"))</f>
        <v>0</v>
      </c>
    </row>
    <row r="385" spans="1:3">
      <c r="A385" s="102">
        <v>8092003</v>
      </c>
      <c r="B385" s="106" t="s">
        <v>258</v>
      </c>
      <c r="C385">
        <f>IF('Change Request Form'!$N$34="",0,COUNTIF(B385,"*"&amp;'Change Request Form'!$N$34&amp;"*"))</f>
        <v>0</v>
      </c>
    </row>
    <row r="386" spans="1:3">
      <c r="A386" s="102">
        <v>7200099</v>
      </c>
      <c r="B386" s="106" t="s">
        <v>258</v>
      </c>
      <c r="C386">
        <f>IF('Change Request Form'!$N$34="",0,COUNTIF(B386,"*"&amp;'Change Request Form'!$N$34&amp;"*"))</f>
        <v>0</v>
      </c>
    </row>
    <row r="387" spans="1:3">
      <c r="A387" s="102">
        <v>10015</v>
      </c>
      <c r="B387" s="106" t="s">
        <v>258</v>
      </c>
      <c r="C387">
        <f>IF('Change Request Form'!$N$34="",0,COUNTIF(B387,"*"&amp;'Change Request Form'!$N$34&amp;"*"))</f>
        <v>0</v>
      </c>
    </row>
    <row r="388" spans="1:3">
      <c r="A388" s="102">
        <v>15328002</v>
      </c>
      <c r="B388" s="106" t="s">
        <v>259</v>
      </c>
      <c r="C388">
        <f>IF('Change Request Form'!$N$34="",0,COUNTIF(B388,"*"&amp;'Change Request Form'!$N$34&amp;"*"))</f>
        <v>0</v>
      </c>
    </row>
    <row r="389" spans="1:3">
      <c r="A389" s="102">
        <v>395072</v>
      </c>
      <c r="B389" s="106" t="s">
        <v>260</v>
      </c>
      <c r="C389">
        <f>IF('Change Request Form'!$N$34="",0,COUNTIF(B389,"*"&amp;'Change Request Form'!$N$34&amp;"*"))</f>
        <v>0</v>
      </c>
    </row>
    <row r="390" spans="1:3">
      <c r="A390" s="102">
        <v>26183</v>
      </c>
      <c r="B390" s="106" t="s">
        <v>261</v>
      </c>
      <c r="C390">
        <f>IF('Change Request Form'!$N$34="",0,COUNTIF(B390,"*"&amp;'Change Request Form'!$N$34&amp;"*"))</f>
        <v>0</v>
      </c>
    </row>
    <row r="391" spans="1:3">
      <c r="A391" s="102">
        <v>408308</v>
      </c>
      <c r="B391" s="106" t="s">
        <v>262</v>
      </c>
      <c r="C391">
        <f>IF('Change Request Form'!$N$34="",0,COUNTIF(B391,"*"&amp;'Change Request Form'!$N$34&amp;"*"))</f>
        <v>0</v>
      </c>
    </row>
    <row r="392" spans="1:3">
      <c r="A392" s="102">
        <v>408307</v>
      </c>
      <c r="B392" s="106" t="s">
        <v>263</v>
      </c>
      <c r="C392">
        <f>IF('Change Request Form'!$N$34="",0,COUNTIF(B392,"*"&amp;'Change Request Form'!$N$34&amp;"*"))</f>
        <v>0</v>
      </c>
    </row>
    <row r="393" spans="1:3">
      <c r="A393" s="102">
        <v>18452000</v>
      </c>
      <c r="B393" s="106" t="s">
        <v>264</v>
      </c>
      <c r="C393">
        <f>IF('Change Request Form'!$N$34="",0,COUNTIF(B393,"*"&amp;'Change Request Form'!$N$34&amp;"*"))</f>
        <v>0</v>
      </c>
    </row>
    <row r="394" spans="1:3">
      <c r="A394" s="102">
        <v>11012059</v>
      </c>
      <c r="B394" s="106" t="s">
        <v>265</v>
      </c>
      <c r="C394">
        <f>IF('Change Request Form'!$N$34="",0,COUNTIF(B394,"*"&amp;'Change Request Form'!$N$34&amp;"*"))</f>
        <v>0</v>
      </c>
    </row>
    <row r="395" spans="1:3">
      <c r="A395" s="102">
        <v>18474000</v>
      </c>
      <c r="B395" s="106" t="s">
        <v>266</v>
      </c>
      <c r="C395">
        <f>IF('Change Request Form'!$N$34="",0,COUNTIF(B395,"*"&amp;'Change Request Form'!$N$34&amp;"*"))</f>
        <v>0</v>
      </c>
    </row>
    <row r="396" spans="1:3">
      <c r="A396" s="102">
        <v>408287</v>
      </c>
      <c r="B396" s="106" t="s">
        <v>267</v>
      </c>
      <c r="C396">
        <f>IF('Change Request Form'!$N$34="",0,COUNTIF(B396,"*"&amp;'Change Request Form'!$N$34&amp;"*"))</f>
        <v>0</v>
      </c>
    </row>
    <row r="397" spans="1:3">
      <c r="A397" s="102">
        <v>16045003</v>
      </c>
      <c r="B397" s="106" t="s">
        <v>268</v>
      </c>
      <c r="C397">
        <f>IF('Change Request Form'!$N$34="",0,COUNTIF(B397,"*"&amp;'Change Request Form'!$N$34&amp;"*"))</f>
        <v>0</v>
      </c>
    </row>
    <row r="398" spans="1:3">
      <c r="A398" s="102">
        <v>410138</v>
      </c>
      <c r="B398" s="106" t="s">
        <v>269</v>
      </c>
      <c r="C398">
        <f>IF('Change Request Form'!$N$34="",0,COUNTIF(B398,"*"&amp;'Change Request Form'!$N$34&amp;"*"))</f>
        <v>0</v>
      </c>
    </row>
    <row r="399" spans="1:3">
      <c r="A399" s="102">
        <v>409256</v>
      </c>
      <c r="B399" s="106" t="s">
        <v>270</v>
      </c>
      <c r="C399">
        <f>IF('Change Request Form'!$N$34="",0,COUNTIF(B399,"*"&amp;'Change Request Form'!$N$34&amp;"*"))</f>
        <v>0</v>
      </c>
    </row>
    <row r="400" spans="1:3">
      <c r="A400" s="102">
        <v>409259</v>
      </c>
      <c r="B400" s="106" t="s">
        <v>270</v>
      </c>
      <c r="C400">
        <f>IF('Change Request Form'!$N$34="",0,COUNTIF(B400,"*"&amp;'Change Request Form'!$N$34&amp;"*"))</f>
        <v>0</v>
      </c>
    </row>
    <row r="401" spans="1:3">
      <c r="A401" s="102">
        <v>409244</v>
      </c>
      <c r="B401" s="106" t="s">
        <v>270</v>
      </c>
      <c r="C401">
        <f>IF('Change Request Form'!$N$34="",0,COUNTIF(B401,"*"&amp;'Change Request Form'!$N$34&amp;"*"))</f>
        <v>0</v>
      </c>
    </row>
    <row r="402" spans="1:3">
      <c r="A402" s="102">
        <v>4180203</v>
      </c>
      <c r="B402" s="106" t="s">
        <v>271</v>
      </c>
      <c r="C402">
        <f>IF('Change Request Form'!$N$34="",0,COUNTIF(B402,"*"&amp;'Change Request Form'!$N$34&amp;"*"))</f>
        <v>0</v>
      </c>
    </row>
    <row r="403" spans="1:3">
      <c r="A403" s="102">
        <v>8103000</v>
      </c>
      <c r="B403" s="106" t="s">
        <v>272</v>
      </c>
      <c r="C403">
        <f>IF('Change Request Form'!$N$34="",0,COUNTIF(B403,"*"&amp;'Change Request Form'!$N$34&amp;"*"))</f>
        <v>0</v>
      </c>
    </row>
    <row r="404" spans="1:3">
      <c r="A404" s="102">
        <v>9320</v>
      </c>
      <c r="B404" s="106" t="s">
        <v>273</v>
      </c>
      <c r="C404">
        <f>IF('Change Request Form'!$N$34="",0,COUNTIF(B404,"*"&amp;'Change Request Form'!$N$34&amp;"*"))</f>
        <v>0</v>
      </c>
    </row>
    <row r="405" spans="1:3">
      <c r="A405" s="102">
        <v>9321</v>
      </c>
      <c r="B405" s="106" t="s">
        <v>273</v>
      </c>
      <c r="C405">
        <f>IF('Change Request Form'!$N$34="",0,COUNTIF(B405,"*"&amp;'Change Request Form'!$N$34&amp;"*"))</f>
        <v>0</v>
      </c>
    </row>
    <row r="406" spans="1:3">
      <c r="A406" s="102">
        <v>9027</v>
      </c>
      <c r="B406" s="106" t="s">
        <v>273</v>
      </c>
      <c r="C406">
        <f>IF('Change Request Form'!$N$34="",0,COUNTIF(B406,"*"&amp;'Change Request Form'!$N$34&amp;"*"))</f>
        <v>0</v>
      </c>
    </row>
    <row r="407" spans="1:3">
      <c r="A407" s="102">
        <v>16461000</v>
      </c>
      <c r="B407" s="106" t="s">
        <v>274</v>
      </c>
      <c r="C407">
        <f>IF('Change Request Form'!$N$34="",0,COUNTIF(B407,"*"&amp;'Change Request Form'!$N$34&amp;"*"))</f>
        <v>0</v>
      </c>
    </row>
    <row r="408" spans="1:3">
      <c r="A408" s="102">
        <v>3808082</v>
      </c>
      <c r="B408" s="106" t="s">
        <v>275</v>
      </c>
      <c r="C408">
        <f>IF('Change Request Form'!$N$34="",0,COUNTIF(B408,"*"&amp;'Change Request Form'!$N$34&amp;"*"))</f>
        <v>0</v>
      </c>
    </row>
    <row r="409" spans="1:3">
      <c r="A409" s="102">
        <v>5665081</v>
      </c>
      <c r="B409" s="106" t="s">
        <v>276</v>
      </c>
      <c r="C409">
        <f>IF('Change Request Form'!$N$34="",0,COUNTIF(B409,"*"&amp;'Change Request Form'!$N$34&amp;"*"))</f>
        <v>0</v>
      </c>
    </row>
    <row r="410" spans="1:3">
      <c r="A410" s="102">
        <v>6408000</v>
      </c>
      <c r="B410" s="106" t="s">
        <v>277</v>
      </c>
      <c r="C410">
        <f>IF('Change Request Form'!$N$34="",0,COUNTIF(B410,"*"&amp;'Change Request Form'!$N$34&amp;"*"))</f>
        <v>0</v>
      </c>
    </row>
    <row r="411" spans="1:3">
      <c r="A411" s="102">
        <v>11375</v>
      </c>
      <c r="B411" s="106" t="s">
        <v>278</v>
      </c>
      <c r="C411">
        <f>IF('Change Request Form'!$N$34="",0,COUNTIF(B411,"*"&amp;'Change Request Form'!$N$34&amp;"*"))</f>
        <v>0</v>
      </c>
    </row>
    <row r="412" spans="1:3">
      <c r="A412" s="102">
        <v>11378</v>
      </c>
      <c r="B412" s="106" t="s">
        <v>278</v>
      </c>
      <c r="C412">
        <f>IF('Change Request Form'!$N$34="",0,COUNTIF(B412,"*"&amp;'Change Request Form'!$N$34&amp;"*"))</f>
        <v>0</v>
      </c>
    </row>
    <row r="413" spans="1:3">
      <c r="A413" s="102">
        <v>11363</v>
      </c>
      <c r="B413" s="106" t="s">
        <v>278</v>
      </c>
      <c r="C413">
        <f>IF('Change Request Form'!$N$34="",0,COUNTIF(B413,"*"&amp;'Change Request Form'!$N$34&amp;"*"))</f>
        <v>0</v>
      </c>
    </row>
    <row r="414" spans="1:3">
      <c r="A414" s="102">
        <v>11267</v>
      </c>
      <c r="B414" s="106" t="s">
        <v>278</v>
      </c>
      <c r="C414">
        <f>IF('Change Request Form'!$N$34="",0,COUNTIF(B414,"*"&amp;'Change Request Form'!$N$34&amp;"*"))</f>
        <v>0</v>
      </c>
    </row>
    <row r="415" spans="1:3">
      <c r="A415" s="102">
        <v>2589509</v>
      </c>
      <c r="B415" s="106" t="s">
        <v>279</v>
      </c>
      <c r="C415">
        <f>IF('Change Request Form'!$N$34="",0,COUNTIF(B415,"*"&amp;'Change Request Form'!$N$34&amp;"*"))</f>
        <v>0</v>
      </c>
    </row>
    <row r="416" spans="1:3">
      <c r="A416" s="102">
        <v>3270027</v>
      </c>
      <c r="B416" s="106" t="s">
        <v>280</v>
      </c>
      <c r="C416">
        <f>IF('Change Request Form'!$N$34="",0,COUNTIF(B416,"*"&amp;'Change Request Form'!$N$34&amp;"*"))</f>
        <v>0</v>
      </c>
    </row>
    <row r="417" spans="1:4">
      <c r="A417" s="102">
        <v>2087219</v>
      </c>
      <c r="B417" s="106" t="s">
        <v>281</v>
      </c>
      <c r="C417">
        <f>IF('Change Request Form'!$N$34="",0,COUNTIF(B417,"*"&amp;'Change Request Form'!$N$34&amp;"*"))</f>
        <v>0</v>
      </c>
    </row>
    <row r="418" spans="1:4">
      <c r="A418" s="102">
        <v>223542</v>
      </c>
      <c r="B418" s="106" t="s">
        <v>282</v>
      </c>
      <c r="C418">
        <f>IF('Change Request Form'!$N$34="",0,COUNTIF(B418,"*"&amp;'Change Request Form'!$N$34&amp;"*"))</f>
        <v>0</v>
      </c>
      <c r="D418" s="91">
        <v>1</v>
      </c>
    </row>
    <row r="419" spans="1:4">
      <c r="A419" s="102">
        <v>223526</v>
      </c>
      <c r="B419" s="106" t="s">
        <v>282</v>
      </c>
      <c r="C419">
        <f>IF('Change Request Form'!$N$34="",0,COUNTIF(B419,"*"&amp;'Change Request Form'!$N$34&amp;"*"))</f>
        <v>0</v>
      </c>
      <c r="D419" s="91">
        <v>1</v>
      </c>
    </row>
    <row r="420" spans="1:4">
      <c r="A420" s="102">
        <v>12632</v>
      </c>
      <c r="B420" s="106" t="s">
        <v>283</v>
      </c>
      <c r="C420">
        <f>IF('Change Request Form'!$N$34="",0,COUNTIF(B420,"*"&amp;'Change Request Form'!$N$34&amp;"*"))</f>
        <v>0</v>
      </c>
    </row>
    <row r="421" spans="1:4">
      <c r="A421" s="102">
        <v>12635</v>
      </c>
      <c r="B421" s="106" t="s">
        <v>283</v>
      </c>
      <c r="C421">
        <f>IF('Change Request Form'!$N$34="",0,COUNTIF(B421,"*"&amp;'Change Request Form'!$N$34&amp;"*"))</f>
        <v>0</v>
      </c>
    </row>
    <row r="422" spans="1:4">
      <c r="A422" s="102">
        <v>12634</v>
      </c>
      <c r="B422" s="106" t="s">
        <v>283</v>
      </c>
      <c r="C422">
        <f>IF('Change Request Form'!$N$34="",0,COUNTIF(B422,"*"&amp;'Change Request Form'!$N$34&amp;"*"))</f>
        <v>0</v>
      </c>
    </row>
    <row r="423" spans="1:4">
      <c r="A423" s="102">
        <v>12622</v>
      </c>
      <c r="B423" s="106" t="s">
        <v>283</v>
      </c>
      <c r="C423">
        <f>IF('Change Request Form'!$N$34="",0,COUNTIF(B423,"*"&amp;'Change Request Form'!$N$34&amp;"*"))</f>
        <v>0</v>
      </c>
    </row>
    <row r="424" spans="1:4">
      <c r="A424" s="102">
        <v>4331009</v>
      </c>
      <c r="B424" s="106" t="s">
        <v>284</v>
      </c>
      <c r="C424">
        <f>IF('Change Request Form'!$N$34="",0,COUNTIF(B424,"*"&amp;'Change Request Form'!$N$34&amp;"*"))</f>
        <v>0</v>
      </c>
    </row>
    <row r="425" spans="1:4">
      <c r="A425" s="102">
        <v>4331025</v>
      </c>
      <c r="B425" s="106" t="s">
        <v>285</v>
      </c>
      <c r="C425">
        <f>IF('Change Request Form'!$N$34="",0,COUNTIF(B425,"*"&amp;'Change Request Form'!$N$34&amp;"*"))</f>
        <v>0</v>
      </c>
    </row>
    <row r="426" spans="1:4">
      <c r="A426" s="102">
        <v>42269</v>
      </c>
      <c r="B426" s="106" t="s">
        <v>286</v>
      </c>
      <c r="C426">
        <f>IF('Change Request Form'!$N$34="",0,COUNTIF(B426,"*"&amp;'Change Request Form'!$N$34&amp;"*"))</f>
        <v>0</v>
      </c>
    </row>
    <row r="427" spans="1:4">
      <c r="A427" s="102">
        <v>13222006</v>
      </c>
      <c r="B427" s="106" t="s">
        <v>287</v>
      </c>
      <c r="C427">
        <f>IF('Change Request Form'!$N$34="",0,COUNTIF(B427,"*"&amp;'Change Request Form'!$N$34&amp;"*"))</f>
        <v>0</v>
      </c>
    </row>
    <row r="428" spans="1:4">
      <c r="A428" s="102">
        <v>33037</v>
      </c>
      <c r="B428" s="106" t="s">
        <v>288</v>
      </c>
      <c r="C428">
        <f>IF('Change Request Form'!$N$34="",0,COUNTIF(B428,"*"&amp;'Change Request Form'!$N$34&amp;"*"))</f>
        <v>0</v>
      </c>
    </row>
    <row r="429" spans="1:4">
      <c r="A429" s="102">
        <v>19067</v>
      </c>
      <c r="B429" s="106" t="s">
        <v>289</v>
      </c>
      <c r="C429">
        <f>IF('Change Request Form'!$N$34="",0,COUNTIF(B429,"*"&amp;'Change Request Form'!$N$34&amp;"*"))</f>
        <v>0</v>
      </c>
    </row>
    <row r="430" spans="1:4">
      <c r="A430" s="102">
        <v>42274</v>
      </c>
      <c r="B430" s="106" t="s">
        <v>290</v>
      </c>
      <c r="C430">
        <f>IF('Change Request Form'!$N$34="",0,COUNTIF(B430,"*"&amp;'Change Request Form'!$N$34&amp;"*"))</f>
        <v>0</v>
      </c>
    </row>
    <row r="431" spans="1:4">
      <c r="A431" s="102">
        <v>21079</v>
      </c>
      <c r="B431" s="106" t="s">
        <v>291</v>
      </c>
      <c r="C431">
        <f>IF('Change Request Form'!$N$34="",0,COUNTIF(B431,"*"&amp;'Change Request Form'!$N$34&amp;"*"))</f>
        <v>0</v>
      </c>
    </row>
    <row r="432" spans="1:4">
      <c r="A432" s="102">
        <v>168399</v>
      </c>
      <c r="B432" s="106" t="s">
        <v>292</v>
      </c>
      <c r="C432">
        <f>IF('Change Request Form'!$N$34="",0,COUNTIF(B432,"*"&amp;'Change Request Form'!$N$34&amp;"*"))</f>
        <v>0</v>
      </c>
    </row>
    <row r="433" spans="1:4">
      <c r="A433" s="102">
        <v>8271016</v>
      </c>
      <c r="B433" s="106" t="s">
        <v>293</v>
      </c>
      <c r="C433">
        <f>IF('Change Request Form'!$N$34="",0,COUNTIF(B433,"*"&amp;'Change Request Form'!$N$34&amp;"*"))</f>
        <v>0</v>
      </c>
    </row>
    <row r="434" spans="1:4">
      <c r="A434" s="102">
        <v>61168</v>
      </c>
      <c r="B434" s="106" t="s">
        <v>294</v>
      </c>
      <c r="C434">
        <f>IF('Change Request Form'!$N$34="",0,COUNTIF(B434,"*"&amp;'Change Request Form'!$N$34&amp;"*"))</f>
        <v>0</v>
      </c>
    </row>
    <row r="435" spans="1:4">
      <c r="A435" s="102">
        <v>61046</v>
      </c>
      <c r="B435" s="106" t="s">
        <v>294</v>
      </c>
      <c r="C435">
        <f>IF('Change Request Form'!$N$34="",0,COUNTIF(B435,"*"&amp;'Change Request Form'!$N$34&amp;"*"))</f>
        <v>0</v>
      </c>
    </row>
    <row r="436" spans="1:4">
      <c r="A436" s="102">
        <v>62192</v>
      </c>
      <c r="B436" s="106" t="s">
        <v>295</v>
      </c>
      <c r="C436">
        <f>IF('Change Request Form'!$N$34="",0,COUNTIF(B436,"*"&amp;'Change Request Form'!$N$34&amp;"*"))</f>
        <v>0</v>
      </c>
    </row>
    <row r="437" spans="1:4">
      <c r="A437" s="102">
        <v>62014</v>
      </c>
      <c r="B437" s="106" t="s">
        <v>295</v>
      </c>
      <c r="C437">
        <f>IF('Change Request Form'!$N$34="",0,COUNTIF(B437,"*"&amp;'Change Request Form'!$N$34&amp;"*"))</f>
        <v>0</v>
      </c>
    </row>
    <row r="438" spans="1:4">
      <c r="A438" s="102">
        <v>60143</v>
      </c>
      <c r="B438" s="106" t="s">
        <v>296</v>
      </c>
      <c r="C438">
        <f>IF('Change Request Form'!$N$34="",0,COUNTIF(B438,"*"&amp;'Change Request Form'!$N$34&amp;"*"))</f>
        <v>0</v>
      </c>
    </row>
    <row r="439" spans="1:4">
      <c r="A439" s="102">
        <v>60093</v>
      </c>
      <c r="B439" s="106" t="s">
        <v>296</v>
      </c>
      <c r="C439">
        <f>IF('Change Request Form'!$N$34="",0,COUNTIF(B439,"*"&amp;'Change Request Form'!$N$34&amp;"*"))</f>
        <v>0</v>
      </c>
    </row>
    <row r="440" spans="1:4">
      <c r="A440" s="102">
        <v>5477102</v>
      </c>
      <c r="B440" s="106" t="s">
        <v>297</v>
      </c>
      <c r="C440">
        <f>IF('Change Request Form'!$N$34="",0,COUNTIF(B440,"*"&amp;'Change Request Form'!$N$34&amp;"*"))</f>
        <v>0</v>
      </c>
    </row>
    <row r="441" spans="1:4">
      <c r="A441" s="102">
        <v>385138</v>
      </c>
      <c r="B441" s="106" t="s">
        <v>298</v>
      </c>
      <c r="C441">
        <f>IF('Change Request Form'!$N$34="",0,COUNTIF(B441,"*"&amp;'Change Request Form'!$N$34&amp;"*"))</f>
        <v>0</v>
      </c>
      <c r="D441" s="91">
        <v>1</v>
      </c>
    </row>
    <row r="442" spans="1:4">
      <c r="A442" s="102">
        <v>69035</v>
      </c>
      <c r="B442" s="106" t="s">
        <v>299</v>
      </c>
      <c r="C442">
        <f>IF('Change Request Form'!$N$34="",0,COUNTIF(B442,"*"&amp;'Change Request Form'!$N$34&amp;"*"))</f>
        <v>0</v>
      </c>
    </row>
    <row r="443" spans="1:4">
      <c r="A443" s="102">
        <v>3017011</v>
      </c>
      <c r="B443" s="106" t="s">
        <v>300</v>
      </c>
      <c r="C443">
        <f>IF('Change Request Form'!$N$34="",0,COUNTIF(B443,"*"&amp;'Change Request Form'!$N$34&amp;"*"))</f>
        <v>0</v>
      </c>
    </row>
    <row r="444" spans="1:4">
      <c r="A444" s="102">
        <v>3470102</v>
      </c>
      <c r="B444" s="106" t="s">
        <v>301</v>
      </c>
      <c r="C444">
        <f>IF('Change Request Form'!$N$34="",0,COUNTIF(B444,"*"&amp;'Change Request Form'!$N$34&amp;"*"))</f>
        <v>0</v>
      </c>
    </row>
    <row r="445" spans="1:4">
      <c r="A445" s="102">
        <v>8442107</v>
      </c>
      <c r="B445" s="106" t="s">
        <v>302</v>
      </c>
      <c r="C445">
        <f>IF('Change Request Form'!$N$34="",0,COUNTIF(B445,"*"&amp;'Change Request Form'!$N$34&amp;"*"))</f>
        <v>0</v>
      </c>
    </row>
    <row r="446" spans="1:4" ht="16.8">
      <c r="A446" s="104">
        <v>3471116</v>
      </c>
      <c r="B446" s="106" t="s">
        <v>303</v>
      </c>
      <c r="C446">
        <f>IF('Change Request Form'!$N$34="",0,COUNTIF(B446,"*"&amp;'Change Request Form'!$N$34&amp;"*"))</f>
        <v>0</v>
      </c>
    </row>
    <row r="447" spans="1:4">
      <c r="A447" s="102">
        <v>562105</v>
      </c>
      <c r="B447" s="106" t="s">
        <v>304</v>
      </c>
      <c r="C447">
        <f>IF('Change Request Form'!$N$34="",0,COUNTIF(B447,"*"&amp;'Change Request Form'!$N$34&amp;"*"))</f>
        <v>0</v>
      </c>
    </row>
    <row r="448" spans="1:4">
      <c r="A448" s="102">
        <v>704110</v>
      </c>
      <c r="B448" s="106" t="s">
        <v>305</v>
      </c>
      <c r="C448">
        <f>IF('Change Request Form'!$N$34="",0,COUNTIF(B448,"*"&amp;'Change Request Form'!$N$34&amp;"*"))</f>
        <v>0</v>
      </c>
    </row>
    <row r="449" spans="1:4">
      <c r="A449" s="102">
        <v>752133</v>
      </c>
      <c r="B449" s="106" t="s">
        <v>306</v>
      </c>
      <c r="C449">
        <f>IF('Change Request Form'!$N$34="",0,COUNTIF(B449,"*"&amp;'Change Request Form'!$N$34&amp;"*"))</f>
        <v>0</v>
      </c>
    </row>
    <row r="450" spans="1:4">
      <c r="A450" s="102">
        <v>67201</v>
      </c>
      <c r="B450" s="106" t="s">
        <v>307</v>
      </c>
      <c r="C450">
        <f>IF('Change Request Form'!$N$34="",0,COUNTIF(B450,"*"&amp;'Change Request Form'!$N$34&amp;"*"))</f>
        <v>0</v>
      </c>
      <c r="D450" s="91">
        <v>1</v>
      </c>
    </row>
    <row r="451" spans="1:4">
      <c r="A451" s="102">
        <v>3850052</v>
      </c>
      <c r="B451" s="106" t="s">
        <v>308</v>
      </c>
      <c r="C451">
        <f>IF('Change Request Form'!$N$34="",0,COUNTIF(B451,"*"&amp;'Change Request Form'!$N$34&amp;"*"))</f>
        <v>0</v>
      </c>
    </row>
    <row r="452" spans="1:4">
      <c r="A452" s="102">
        <v>3850051</v>
      </c>
      <c r="B452" s="106" t="s">
        <v>309</v>
      </c>
      <c r="C452">
        <f>IF('Change Request Form'!$N$34="",0,COUNTIF(B452,"*"&amp;'Change Request Form'!$N$34&amp;"*"))</f>
        <v>0</v>
      </c>
    </row>
    <row r="453" spans="1:4">
      <c r="A453" s="102">
        <v>398908</v>
      </c>
      <c r="B453" s="106" t="s">
        <v>310</v>
      </c>
      <c r="C453">
        <f>IF('Change Request Form'!$N$34="",0,COUNTIF(B453,"*"&amp;'Change Request Form'!$N$34&amp;"*"))</f>
        <v>0</v>
      </c>
    </row>
    <row r="454" spans="1:4">
      <c r="A454" s="102">
        <v>18631002</v>
      </c>
      <c r="B454" s="106" t="s">
        <v>310</v>
      </c>
      <c r="C454">
        <f>IF('Change Request Form'!$N$34="",0,COUNTIF(B454,"*"&amp;'Change Request Form'!$N$34&amp;"*"))</f>
        <v>0</v>
      </c>
    </row>
    <row r="455" spans="1:4">
      <c r="A455" s="102">
        <v>18631001</v>
      </c>
      <c r="B455" s="106" t="s">
        <v>310</v>
      </c>
      <c r="C455">
        <f>IF('Change Request Form'!$N$34="",0,COUNTIF(B455,"*"&amp;'Change Request Form'!$N$34&amp;"*"))</f>
        <v>0</v>
      </c>
    </row>
    <row r="456" spans="1:4">
      <c r="A456" s="102">
        <v>397148</v>
      </c>
      <c r="B456" s="106" t="s">
        <v>311</v>
      </c>
      <c r="C456">
        <f>IF('Change Request Form'!$N$34="",0,COUNTIF(B456,"*"&amp;'Change Request Form'!$N$34&amp;"*"))</f>
        <v>0</v>
      </c>
    </row>
    <row r="457" spans="1:4">
      <c r="A457" s="102">
        <v>4703027</v>
      </c>
      <c r="B457" s="106" t="s">
        <v>312</v>
      </c>
      <c r="C457">
        <f>IF('Change Request Form'!$N$34="",0,COUNTIF(B457,"*"&amp;'Change Request Form'!$N$34&amp;"*"))</f>
        <v>0</v>
      </c>
      <c r="D457" s="91">
        <v>1</v>
      </c>
    </row>
    <row r="458" spans="1:4">
      <c r="A458" s="102">
        <v>3168104</v>
      </c>
      <c r="B458" s="106" t="s">
        <v>313</v>
      </c>
      <c r="C458">
        <f>IF('Change Request Form'!$N$34="",0,COUNTIF(B458,"*"&amp;'Change Request Form'!$N$34&amp;"*"))</f>
        <v>0</v>
      </c>
      <c r="D458" s="91">
        <v>1</v>
      </c>
    </row>
    <row r="459" spans="1:4">
      <c r="A459" s="102">
        <v>353143</v>
      </c>
      <c r="B459" s="106" t="s">
        <v>314</v>
      </c>
      <c r="C459">
        <f>IF('Change Request Form'!$N$34="",0,COUNTIF(B459,"*"&amp;'Change Request Form'!$N$34&amp;"*"))</f>
        <v>0</v>
      </c>
      <c r="D459" s="91">
        <v>1</v>
      </c>
    </row>
    <row r="460" spans="1:4">
      <c r="A460" s="102">
        <v>319104</v>
      </c>
      <c r="B460" s="106" t="s">
        <v>315</v>
      </c>
      <c r="C460">
        <f>IF('Change Request Form'!$N$34="",0,COUNTIF(B460,"*"&amp;'Change Request Form'!$N$34&amp;"*"))</f>
        <v>0</v>
      </c>
      <c r="D460" s="91">
        <v>1</v>
      </c>
    </row>
    <row r="461" spans="1:4">
      <c r="A461" s="102">
        <v>350172</v>
      </c>
      <c r="B461" s="106" t="s">
        <v>316</v>
      </c>
      <c r="C461">
        <f>IF('Change Request Form'!$N$34="",0,COUNTIF(B461,"*"&amp;'Change Request Form'!$N$34&amp;"*"))</f>
        <v>0</v>
      </c>
      <c r="D461" s="91">
        <v>1</v>
      </c>
    </row>
    <row r="462" spans="1:4">
      <c r="A462" s="102">
        <v>170139</v>
      </c>
      <c r="B462" s="106" t="s">
        <v>317</v>
      </c>
      <c r="C462">
        <f>IF('Change Request Form'!$N$34="",0,COUNTIF(B462,"*"&amp;'Change Request Form'!$N$34&amp;"*"))</f>
        <v>0</v>
      </c>
    </row>
    <row r="463" spans="1:4">
      <c r="A463" s="102">
        <v>3769135</v>
      </c>
      <c r="B463" s="106" t="s">
        <v>318</v>
      </c>
      <c r="C463">
        <f>IF('Change Request Form'!$N$34="",0,COUNTIF(B463,"*"&amp;'Change Request Form'!$N$34&amp;"*"))</f>
        <v>0</v>
      </c>
    </row>
    <row r="464" spans="1:4">
      <c r="A464" s="102">
        <v>8347096</v>
      </c>
      <c r="B464" s="106" t="s">
        <v>319</v>
      </c>
      <c r="C464">
        <f>IF('Change Request Form'!$N$34="",0,COUNTIF(B464,"*"&amp;'Change Request Form'!$N$34&amp;"*"))</f>
        <v>0</v>
      </c>
    </row>
    <row r="465" spans="1:4">
      <c r="A465" s="102">
        <v>8347102</v>
      </c>
      <c r="B465" s="106" t="s">
        <v>319</v>
      </c>
      <c r="C465">
        <f>IF('Change Request Form'!$N$34="",0,COUNTIF(B465,"*"&amp;'Change Request Form'!$N$34&amp;"*"))</f>
        <v>0</v>
      </c>
    </row>
    <row r="466" spans="1:4">
      <c r="A466" s="102">
        <v>285814</v>
      </c>
      <c r="B466" s="106" t="s">
        <v>320</v>
      </c>
      <c r="C466">
        <f>IF('Change Request Form'!$N$34="",0,COUNTIF(B466,"*"&amp;'Change Request Form'!$N$34&amp;"*"))</f>
        <v>0</v>
      </c>
    </row>
    <row r="467" spans="1:4">
      <c r="A467" s="102">
        <v>1179383</v>
      </c>
      <c r="B467" s="106" t="s">
        <v>321</v>
      </c>
      <c r="C467">
        <f>IF('Change Request Form'!$N$34="",0,COUNTIF(B467,"*"&amp;'Change Request Form'!$N$34&amp;"*"))</f>
        <v>0</v>
      </c>
      <c r="D467" s="91">
        <v>1</v>
      </c>
    </row>
    <row r="468" spans="1:4">
      <c r="A468" s="102">
        <v>284970</v>
      </c>
      <c r="B468" s="106" t="s">
        <v>322</v>
      </c>
      <c r="C468">
        <f>IF('Change Request Form'!$N$34="",0,COUNTIF(B468,"*"&amp;'Change Request Form'!$N$34&amp;"*"))</f>
        <v>0</v>
      </c>
      <c r="D468" s="91">
        <v>1</v>
      </c>
    </row>
    <row r="469" spans="1:4">
      <c r="A469" s="102">
        <v>7628031</v>
      </c>
      <c r="B469" s="106" t="s">
        <v>323</v>
      </c>
      <c r="C469">
        <f>IF('Change Request Form'!$N$34="",0,COUNTIF(B469,"*"&amp;'Change Request Form'!$N$34&amp;"*"))</f>
        <v>0</v>
      </c>
      <c r="D469" s="91">
        <v>1</v>
      </c>
    </row>
    <row r="470" spans="1:4">
      <c r="A470" s="102">
        <v>4711018</v>
      </c>
      <c r="B470" s="106" t="s">
        <v>324</v>
      </c>
      <c r="C470">
        <f>IF('Change Request Form'!$N$34="",0,COUNTIF(B470,"*"&amp;'Change Request Form'!$N$34&amp;"*"))</f>
        <v>0</v>
      </c>
    </row>
    <row r="471" spans="1:4">
      <c r="A471" s="102">
        <v>7628032</v>
      </c>
      <c r="B471" s="106" t="s">
        <v>325</v>
      </c>
      <c r="C471">
        <f>IF('Change Request Form'!$N$34="",0,COUNTIF(B471,"*"&amp;'Change Request Form'!$N$34&amp;"*"))</f>
        <v>0</v>
      </c>
    </row>
    <row r="472" spans="1:4">
      <c r="A472" s="102">
        <v>7628030</v>
      </c>
      <c r="B472" s="106" t="s">
        <v>325</v>
      </c>
      <c r="C472">
        <f>IF('Change Request Form'!$N$34="",0,COUNTIF(B472,"*"&amp;'Change Request Form'!$N$34&amp;"*"))</f>
        <v>0</v>
      </c>
    </row>
    <row r="473" spans="1:4">
      <c r="A473" s="102">
        <v>4493048</v>
      </c>
      <c r="B473" s="106" t="s">
        <v>326</v>
      </c>
      <c r="C473">
        <f>IF('Change Request Form'!$N$34="",0,COUNTIF(B473,"*"&amp;'Change Request Form'!$N$34&amp;"*"))</f>
        <v>0</v>
      </c>
      <c r="D473" s="91">
        <v>1</v>
      </c>
    </row>
    <row r="474" spans="1:4">
      <c r="A474" s="102">
        <v>4493045</v>
      </c>
      <c r="B474" s="106" t="s">
        <v>326</v>
      </c>
      <c r="C474">
        <f>IF('Change Request Form'!$N$34="",0,COUNTIF(B474,"*"&amp;'Change Request Form'!$N$34&amp;"*"))</f>
        <v>0</v>
      </c>
      <c r="D474" s="91">
        <v>1</v>
      </c>
    </row>
    <row r="475" spans="1:4">
      <c r="A475" s="102">
        <v>791081</v>
      </c>
      <c r="B475" s="106" t="s">
        <v>327</v>
      </c>
      <c r="C475">
        <f>IF('Change Request Form'!$N$34="",0,COUNTIF(B475,"*"&amp;'Change Request Form'!$N$34&amp;"*"))</f>
        <v>0</v>
      </c>
    </row>
    <row r="476" spans="1:4">
      <c r="C476">
        <f>IF('Change Request Form'!$N$34="",0,COUNTIF(B476,"*"&amp;'Change Request Form'!$N$34&amp;"*"))</f>
        <v>0</v>
      </c>
    </row>
    <row r="477" spans="1:4">
      <c r="C477">
        <f>IF('Change Request Form'!$N$34="",0,COUNTIF(B477,"*"&amp;'Change Request Form'!$N$34&amp;"*"))</f>
        <v>0</v>
      </c>
    </row>
    <row r="478" spans="1:4">
      <c r="C478">
        <f>IF('Change Request Form'!$N$34="",0,COUNTIF(B478,"*"&amp;'Change Request Form'!$N$34&amp;"*"))</f>
        <v>0</v>
      </c>
    </row>
    <row r="479" spans="1:4">
      <c r="C479">
        <f>IF('Change Request Form'!$N$34="",0,COUNTIF(B479,"*"&amp;'Change Request Form'!$N$34&amp;"*"))</f>
        <v>0</v>
      </c>
    </row>
    <row r="480" spans="1:4">
      <c r="C480">
        <f>IF('Change Request Form'!$N$34="",0,COUNTIF(B480,"*"&amp;'Change Request Form'!$N$34&amp;"*"))</f>
        <v>0</v>
      </c>
    </row>
    <row r="481" spans="3:3">
      <c r="C481">
        <f>IF('Change Request Form'!$N$34="",0,COUNTIF(B481,"*"&amp;'Change Request Form'!$N$34&amp;"*"))</f>
        <v>0</v>
      </c>
    </row>
    <row r="482" spans="3:3">
      <c r="C482">
        <f>IF('Change Request Form'!$N$34="",0,COUNTIF(B482,"*"&amp;'Change Request Form'!$N$34&amp;"*"))</f>
        <v>0</v>
      </c>
    </row>
    <row r="483" spans="3:3">
      <c r="C483">
        <f>IF('Change Request Form'!$N$34="",0,COUNTIF(B483,"*"&amp;'Change Request Form'!$N$34&amp;"*"))</f>
        <v>0</v>
      </c>
    </row>
    <row r="484" spans="3:3">
      <c r="C484">
        <f>IF('Change Request Form'!$N$34="",0,COUNTIF(B484,"*"&amp;'Change Request Form'!$N$34&amp;"*"))</f>
        <v>0</v>
      </c>
    </row>
    <row r="485" spans="3:3">
      <c r="C485">
        <f>IF('Change Request Form'!$N$34="",0,COUNTIF(B485,"*"&amp;'Change Request Form'!$N$34&amp;"*"))</f>
        <v>0</v>
      </c>
    </row>
    <row r="486" spans="3:3">
      <c r="C486">
        <f>IF('Change Request Form'!$N$34="",0,COUNTIF(B486,"*"&amp;'Change Request Form'!$N$34&amp;"*"))</f>
        <v>0</v>
      </c>
    </row>
    <row r="487" spans="3:3">
      <c r="C487">
        <f>IF('Change Request Form'!$N$34="",0,COUNTIF(B487,"*"&amp;'Change Request Form'!$N$34&amp;"*"))</f>
        <v>0</v>
      </c>
    </row>
    <row r="488" spans="3:3">
      <c r="C488">
        <f>IF('Change Request Form'!$N$34="",0,COUNTIF(B488,"*"&amp;'Change Request Form'!$N$34&amp;"*"))</f>
        <v>0</v>
      </c>
    </row>
    <row r="489" spans="3:3">
      <c r="C489">
        <f>IF('Change Request Form'!$N$34="",0,COUNTIF(B489,"*"&amp;'Change Request Form'!$N$34&amp;"*"))</f>
        <v>0</v>
      </c>
    </row>
    <row r="490" spans="3:3">
      <c r="C490">
        <f>IF('Change Request Form'!$N$34="",0,COUNTIF(B490,"*"&amp;'Change Request Form'!$N$34&amp;"*"))</f>
        <v>0</v>
      </c>
    </row>
    <row r="491" spans="3:3">
      <c r="C491">
        <f>IF('Change Request Form'!$N$34="",0,COUNTIF(B491,"*"&amp;'Change Request Form'!$N$34&amp;"*"))</f>
        <v>0</v>
      </c>
    </row>
    <row r="492" spans="3:3">
      <c r="C492">
        <f>IF('Change Request Form'!$N$34="",0,COUNTIF(B492,"*"&amp;'Change Request Form'!$N$34&amp;"*"))</f>
        <v>0</v>
      </c>
    </row>
    <row r="493" spans="3:3">
      <c r="C493">
        <f>IF('Change Request Form'!$N$34="",0,COUNTIF(B493,"*"&amp;'Change Request Form'!$N$34&amp;"*"))</f>
        <v>0</v>
      </c>
    </row>
    <row r="494" spans="3:3">
      <c r="C494">
        <f>IF('Change Request Form'!$N$34="",0,COUNTIF(B494,"*"&amp;'Change Request Form'!$N$34&amp;"*"))</f>
        <v>0</v>
      </c>
    </row>
    <row r="495" spans="3:3">
      <c r="C495">
        <f>IF('Change Request Form'!$N$34="",0,COUNTIF(B495,"*"&amp;'Change Request Form'!$N$34&amp;"*"))</f>
        <v>0</v>
      </c>
    </row>
    <row r="496" spans="3:3">
      <c r="C496">
        <f>IF('Change Request Form'!$N$34="",0,COUNTIF(B496,"*"&amp;'Change Request Form'!$N$34&amp;"*"))</f>
        <v>0</v>
      </c>
    </row>
    <row r="497" spans="3:3">
      <c r="C497">
        <f>IF('Change Request Form'!$N$34="",0,COUNTIF(B497,"*"&amp;'Change Request Form'!$N$34&amp;"*"))</f>
        <v>0</v>
      </c>
    </row>
    <row r="498" spans="3:3">
      <c r="C498">
        <f>IF('Change Request Form'!$N$34="",0,COUNTIF(B498,"*"&amp;'Change Request Form'!$N$34&amp;"*"))</f>
        <v>0</v>
      </c>
    </row>
    <row r="499" spans="3:3">
      <c r="C499">
        <f>IF('Change Request Form'!$N$34="",0,COUNTIF(B499,"*"&amp;'Change Request Form'!$N$34&amp;"*"))</f>
        <v>0</v>
      </c>
    </row>
    <row r="500" spans="3:3">
      <c r="C500">
        <f>IF('Change Request Form'!$N$34="",0,COUNTIF(B500,"*"&amp;'Change Request Form'!$N$34&amp;"*"))</f>
        <v>0</v>
      </c>
    </row>
    <row r="501" spans="3:3">
      <c r="C501">
        <f>IF('Change Request Form'!$N$34="",0,COUNTIF(B501,"*"&amp;'Change Request Form'!$N$34&amp;"*"))</f>
        <v>0</v>
      </c>
    </row>
    <row r="502" spans="3:3">
      <c r="C502">
        <f>IF('Change Request Form'!$N$34="",0,COUNTIF(B502,"*"&amp;'Change Request Form'!$N$34&amp;"*"))</f>
        <v>0</v>
      </c>
    </row>
    <row r="503" spans="3:3">
      <c r="C503">
        <f>IF('Change Request Form'!$N$34="",0,COUNTIF(B503,"*"&amp;'Change Request Form'!$N$34&amp;"*"))</f>
        <v>0</v>
      </c>
    </row>
    <row r="504" spans="3:3">
      <c r="C504">
        <f>IF('Change Request Form'!$N$34="",0,COUNTIF(B504,"*"&amp;'Change Request Form'!$N$34&amp;"*"))</f>
        <v>0</v>
      </c>
    </row>
    <row r="505" spans="3:3">
      <c r="C505">
        <f>IF('Change Request Form'!$N$34="",0,COUNTIF(B505,"*"&amp;'Change Request Form'!$N$34&amp;"*"))</f>
        <v>0</v>
      </c>
    </row>
    <row r="506" spans="3:3">
      <c r="C506">
        <f>IF('Change Request Form'!$N$34="",0,COUNTIF(B506,"*"&amp;'Change Request Form'!$N$34&amp;"*"))</f>
        <v>0</v>
      </c>
    </row>
    <row r="507" spans="3:3">
      <c r="C507">
        <f>IF('Change Request Form'!$N$34="",0,COUNTIF(B507,"*"&amp;'Change Request Form'!$N$34&amp;"*"))</f>
        <v>0</v>
      </c>
    </row>
    <row r="508" spans="3:3">
      <c r="C508">
        <f>IF('Change Request Form'!$N$34="",0,COUNTIF(B508,"*"&amp;'Change Request Form'!$N$34&amp;"*"))</f>
        <v>0</v>
      </c>
    </row>
    <row r="509" spans="3:3">
      <c r="C509">
        <f>IF('Change Request Form'!$N$34="",0,COUNTIF(B509,"*"&amp;'Change Request Form'!$N$34&amp;"*"))</f>
        <v>0</v>
      </c>
    </row>
    <row r="510" spans="3:3">
      <c r="C510">
        <f>IF('Change Request Form'!$N$34="",0,COUNTIF(B510,"*"&amp;'Change Request Form'!$N$34&amp;"*"))</f>
        <v>0</v>
      </c>
    </row>
    <row r="511" spans="3:3">
      <c r="C511">
        <f>IF('Change Request Form'!$N$34="",0,COUNTIF(B511,"*"&amp;'Change Request Form'!$N$34&amp;"*"))</f>
        <v>0</v>
      </c>
    </row>
    <row r="512" spans="3:3">
      <c r="C512">
        <f>IF('Change Request Form'!$N$34="",0,COUNTIF(B512,"*"&amp;'Change Request Form'!$N$34&amp;"*"))</f>
        <v>0</v>
      </c>
    </row>
    <row r="513" spans="3:3">
      <c r="C513">
        <f>IF('Change Request Form'!$N$34="",0,COUNTIF(B513,"*"&amp;'Change Request Form'!$N$34&amp;"*"))</f>
        <v>0</v>
      </c>
    </row>
    <row r="514" spans="3:3">
      <c r="C514">
        <f>IF('Change Request Form'!$N$34="",0,COUNTIF(B514,"*"&amp;'Change Request Form'!$N$34&amp;"*"))</f>
        <v>0</v>
      </c>
    </row>
    <row r="515" spans="3:3">
      <c r="C515">
        <f>IF('Change Request Form'!$N$34="",0,COUNTIF(B515,"*"&amp;'Change Request Form'!$N$34&amp;"*"))</f>
        <v>0</v>
      </c>
    </row>
    <row r="516" spans="3:3">
      <c r="C516">
        <f>IF('Change Request Form'!$N$34="",0,COUNTIF(B516,"*"&amp;'Change Request Form'!$N$34&amp;"*"))</f>
        <v>0</v>
      </c>
    </row>
    <row r="517" spans="3:3">
      <c r="C517">
        <f>IF('Change Request Form'!$N$34="",0,COUNTIF(B517,"*"&amp;'Change Request Form'!$N$34&amp;"*"))</f>
        <v>0</v>
      </c>
    </row>
    <row r="518" spans="3:3">
      <c r="C518">
        <f>IF('Change Request Form'!$N$34="",0,COUNTIF(B518,"*"&amp;'Change Request Form'!$N$34&amp;"*"))</f>
        <v>0</v>
      </c>
    </row>
    <row r="519" spans="3:3">
      <c r="C519">
        <f>IF('Change Request Form'!$N$34="",0,COUNTIF(B519,"*"&amp;'Change Request Form'!$N$34&amp;"*"))</f>
        <v>0</v>
      </c>
    </row>
    <row r="520" spans="3:3">
      <c r="C520">
        <f>IF('Change Request Form'!$N$34="",0,COUNTIF(B520,"*"&amp;'Change Request Form'!$N$34&amp;"*"))</f>
        <v>0</v>
      </c>
    </row>
    <row r="521" spans="3:3">
      <c r="C521">
        <f>IF('Change Request Form'!$N$34="",0,COUNTIF(B521,"*"&amp;'Change Request Form'!$N$34&amp;"*"))</f>
        <v>0</v>
      </c>
    </row>
    <row r="522" spans="3:3">
      <c r="C522">
        <f>IF('Change Request Form'!$N$34="",0,COUNTIF(B522,"*"&amp;'Change Request Form'!$N$34&amp;"*"))</f>
        <v>0</v>
      </c>
    </row>
    <row r="523" spans="3:3">
      <c r="C523">
        <f>IF('Change Request Form'!$N$34="",0,COUNTIF(B523,"*"&amp;'Change Request Form'!$N$34&amp;"*"))</f>
        <v>0</v>
      </c>
    </row>
    <row r="524" spans="3:3">
      <c r="C524">
        <f>IF('Change Request Form'!$N$34="",0,COUNTIF(B524,"*"&amp;'Change Request Form'!$N$34&amp;"*"))</f>
        <v>0</v>
      </c>
    </row>
    <row r="525" spans="3:3">
      <c r="C525">
        <f>IF('Change Request Form'!$N$34="",0,COUNTIF(B525,"*"&amp;'Change Request Form'!$N$34&amp;"*"))</f>
        <v>0</v>
      </c>
    </row>
    <row r="526" spans="3:3">
      <c r="C526">
        <f>IF('Change Request Form'!$N$34="",0,COUNTIF(B526,"*"&amp;'Change Request Form'!$N$34&amp;"*"))</f>
        <v>0</v>
      </c>
    </row>
    <row r="527" spans="3:3">
      <c r="C527">
        <f>IF('Change Request Form'!$N$34="",0,COUNTIF(B527,"*"&amp;'Change Request Form'!$N$34&amp;"*"))</f>
        <v>0</v>
      </c>
    </row>
    <row r="528" spans="3:3">
      <c r="C528">
        <f>IF('Change Request Form'!$N$34="",0,COUNTIF(B528,"*"&amp;'Change Request Form'!$N$34&amp;"*"))</f>
        <v>0</v>
      </c>
    </row>
    <row r="529" spans="3:3">
      <c r="C529">
        <f>IF('Change Request Form'!$N$34="",0,COUNTIF(B529,"*"&amp;'Change Request Form'!$N$34&amp;"*"))</f>
        <v>0</v>
      </c>
    </row>
    <row r="530" spans="3:3">
      <c r="C530">
        <f>IF('Change Request Form'!$N$34="",0,COUNTIF(B530,"*"&amp;'Change Request Form'!$N$34&amp;"*"))</f>
        <v>0</v>
      </c>
    </row>
    <row r="531" spans="3:3">
      <c r="C531">
        <f>IF('Change Request Form'!$N$34="",0,COUNTIF(B531,"*"&amp;'Change Request Form'!$N$34&amp;"*"))</f>
        <v>0</v>
      </c>
    </row>
    <row r="532" spans="3:3">
      <c r="C532">
        <f>IF('Change Request Form'!$N$34="",0,COUNTIF(B532,"*"&amp;'Change Request Form'!$N$34&amp;"*"))</f>
        <v>0</v>
      </c>
    </row>
    <row r="533" spans="3:3">
      <c r="C533">
        <f>IF('Change Request Form'!$N$34="",0,COUNTIF(B533,"*"&amp;'Change Request Form'!$N$34&amp;"*"))</f>
        <v>0</v>
      </c>
    </row>
    <row r="534" spans="3:3">
      <c r="C534">
        <f>IF('Change Request Form'!$N$34="",0,COUNTIF(B534,"*"&amp;'Change Request Form'!$N$34&amp;"*"))</f>
        <v>0</v>
      </c>
    </row>
    <row r="535" spans="3:3">
      <c r="C535">
        <f>IF('Change Request Form'!$N$34="",0,COUNTIF(B535,"*"&amp;'Change Request Form'!$N$34&amp;"*"))</f>
        <v>0</v>
      </c>
    </row>
    <row r="536" spans="3:3">
      <c r="C536">
        <f>IF('Change Request Form'!$N$34="",0,COUNTIF(B536,"*"&amp;'Change Request Form'!$N$34&amp;"*"))</f>
        <v>0</v>
      </c>
    </row>
    <row r="537" spans="3:3">
      <c r="C537">
        <f>IF('Change Request Form'!$N$34="",0,COUNTIF(B537,"*"&amp;'Change Request Form'!$N$34&amp;"*"))</f>
        <v>0</v>
      </c>
    </row>
    <row r="538" spans="3:3">
      <c r="C538">
        <f>IF('Change Request Form'!$N$34="",0,COUNTIF(B538,"*"&amp;'Change Request Form'!$N$34&amp;"*"))</f>
        <v>0</v>
      </c>
    </row>
    <row r="539" spans="3:3">
      <c r="C539">
        <f>IF('Change Request Form'!$N$34="",0,COUNTIF(B539,"*"&amp;'Change Request Form'!$N$34&amp;"*"))</f>
        <v>0</v>
      </c>
    </row>
    <row r="540" spans="3:3">
      <c r="C540">
        <f>IF('Change Request Form'!$N$34="",0,COUNTIF(B540,"*"&amp;'Change Request Form'!$N$34&amp;"*"))</f>
        <v>0</v>
      </c>
    </row>
    <row r="541" spans="3:3">
      <c r="C541">
        <f>IF('Change Request Form'!$N$34="",0,COUNTIF(B541,"*"&amp;'Change Request Form'!$N$34&amp;"*"))</f>
        <v>0</v>
      </c>
    </row>
    <row r="542" spans="3:3">
      <c r="C542">
        <f>IF('Change Request Form'!$N$34="",0,COUNTIF(B542,"*"&amp;'Change Request Form'!$N$34&amp;"*"))</f>
        <v>0</v>
      </c>
    </row>
    <row r="543" spans="3:3">
      <c r="C543">
        <f>IF('Change Request Form'!$N$34="",0,COUNTIF(B543,"*"&amp;'Change Request Form'!$N$34&amp;"*"))</f>
        <v>0</v>
      </c>
    </row>
    <row r="544" spans="3:3">
      <c r="C544">
        <f>IF('Change Request Form'!$N$34="",0,COUNTIF(B544,"*"&amp;'Change Request Form'!$N$34&amp;"*"))</f>
        <v>0</v>
      </c>
    </row>
    <row r="545" spans="3:3">
      <c r="C545">
        <f>IF('Change Request Form'!$N$34="",0,COUNTIF(B545,"*"&amp;'Change Request Form'!$N$34&amp;"*"))</f>
        <v>0</v>
      </c>
    </row>
    <row r="546" spans="3:3">
      <c r="C546">
        <f>IF('Change Request Form'!$N$34="",0,COUNTIF(B546,"*"&amp;'Change Request Form'!$N$34&amp;"*"))</f>
        <v>0</v>
      </c>
    </row>
    <row r="547" spans="3:3">
      <c r="C547">
        <f>IF('Change Request Form'!$N$34="",0,COUNTIF(B547,"*"&amp;'Change Request Form'!$N$34&amp;"*"))</f>
        <v>0</v>
      </c>
    </row>
    <row r="548" spans="3:3">
      <c r="C548">
        <f>IF('Change Request Form'!$N$34="",0,COUNTIF(B548,"*"&amp;'Change Request Form'!$N$34&amp;"*"))</f>
        <v>0</v>
      </c>
    </row>
    <row r="549" spans="3:3">
      <c r="C549">
        <f>IF('Change Request Form'!$N$34="",0,COUNTIF(B549,"*"&amp;'Change Request Form'!$N$34&amp;"*"))</f>
        <v>0</v>
      </c>
    </row>
    <row r="550" spans="3:3">
      <c r="C550">
        <f>IF('Change Request Form'!$N$34="",0,COUNTIF(B550,"*"&amp;'Change Request Form'!$N$34&amp;"*"))</f>
        <v>0</v>
      </c>
    </row>
    <row r="551" spans="3:3">
      <c r="C551">
        <f>IF('Change Request Form'!$N$34="",0,COUNTIF(B551,"*"&amp;'Change Request Form'!$N$34&amp;"*"))</f>
        <v>0</v>
      </c>
    </row>
    <row r="552" spans="3:3">
      <c r="C552">
        <f>IF('Change Request Form'!$N$34="",0,COUNTIF(B552,"*"&amp;'Change Request Form'!$N$34&amp;"*"))</f>
        <v>0</v>
      </c>
    </row>
    <row r="553" spans="3:3">
      <c r="C553">
        <f>IF('Change Request Form'!$N$34="",0,COUNTIF(B553,"*"&amp;'Change Request Form'!$N$34&amp;"*"))</f>
        <v>0</v>
      </c>
    </row>
    <row r="554" spans="3:3">
      <c r="C554">
        <f>IF('Change Request Form'!$N$34="",0,COUNTIF(B554,"*"&amp;'Change Request Form'!$N$34&amp;"*"))</f>
        <v>0</v>
      </c>
    </row>
    <row r="555" spans="3:3">
      <c r="C555">
        <f>IF('Change Request Form'!$N$34="",0,COUNTIF(B555,"*"&amp;'Change Request Form'!$N$34&amp;"*"))</f>
        <v>0</v>
      </c>
    </row>
    <row r="556" spans="3:3">
      <c r="C556">
        <f>IF('Change Request Form'!$N$34="",0,COUNTIF(B556,"*"&amp;'Change Request Form'!$N$34&amp;"*"))</f>
        <v>0</v>
      </c>
    </row>
    <row r="557" spans="3:3">
      <c r="C557">
        <f>IF('Change Request Form'!$N$34="",0,COUNTIF(B557,"*"&amp;'Change Request Form'!$N$34&amp;"*"))</f>
        <v>0</v>
      </c>
    </row>
    <row r="558" spans="3:3">
      <c r="C558">
        <f>IF('Change Request Form'!$N$34="",0,COUNTIF(B558,"*"&amp;'Change Request Form'!$N$34&amp;"*"))</f>
        <v>0</v>
      </c>
    </row>
    <row r="559" spans="3:3">
      <c r="C559">
        <f>IF('Change Request Form'!$N$34="",0,COUNTIF(B559,"*"&amp;'Change Request Form'!$N$34&amp;"*"))</f>
        <v>0</v>
      </c>
    </row>
    <row r="560" spans="3:3">
      <c r="C560">
        <f>IF('Change Request Form'!$N$34="",0,COUNTIF(B560,"*"&amp;'Change Request Form'!$N$34&amp;"*"))</f>
        <v>0</v>
      </c>
    </row>
    <row r="561" spans="3:3">
      <c r="C561">
        <f>IF('Change Request Form'!$N$34="",0,COUNTIF(B561,"*"&amp;'Change Request Form'!$N$34&amp;"*"))</f>
        <v>0</v>
      </c>
    </row>
    <row r="562" spans="3:3">
      <c r="C562">
        <f>IF('Change Request Form'!$N$34="",0,COUNTIF(B562,"*"&amp;'Change Request Form'!$N$34&amp;"*"))</f>
        <v>0</v>
      </c>
    </row>
    <row r="563" spans="3:3">
      <c r="C563">
        <f>IF('Change Request Form'!$N$34="",0,COUNTIF(B563,"*"&amp;'Change Request Form'!$N$34&amp;"*"))</f>
        <v>0</v>
      </c>
    </row>
    <row r="564" spans="3:3">
      <c r="C564">
        <f>IF('Change Request Form'!$N$34="",0,COUNTIF(B564,"*"&amp;'Change Request Form'!$N$34&amp;"*"))</f>
        <v>0</v>
      </c>
    </row>
    <row r="565" spans="3:3">
      <c r="C565">
        <f>IF('Change Request Form'!$N$34="",0,COUNTIF(B565,"*"&amp;'Change Request Form'!$N$34&amp;"*"))</f>
        <v>0</v>
      </c>
    </row>
    <row r="566" spans="3:3">
      <c r="C566">
        <f>IF('Change Request Form'!$N$34="",0,COUNTIF(B566,"*"&amp;'Change Request Form'!$N$34&amp;"*"))</f>
        <v>0</v>
      </c>
    </row>
    <row r="567" spans="3:3">
      <c r="C567">
        <f>IF('Change Request Form'!$N$34="",0,COUNTIF(B567,"*"&amp;'Change Request Form'!$N$34&amp;"*"))</f>
        <v>0</v>
      </c>
    </row>
    <row r="568" spans="3:3">
      <c r="C568">
        <f>IF('Change Request Form'!$N$34="",0,COUNTIF(B568,"*"&amp;'Change Request Form'!$N$34&amp;"*"))</f>
        <v>0</v>
      </c>
    </row>
    <row r="569" spans="3:3">
      <c r="C569">
        <f>IF('Change Request Form'!$N$34="",0,COUNTIF(B569,"*"&amp;'Change Request Form'!$N$34&amp;"*"))</f>
        <v>0</v>
      </c>
    </row>
    <row r="570" spans="3:3">
      <c r="C570">
        <f>IF('Change Request Form'!$N$34="",0,COUNTIF(B570,"*"&amp;'Change Request Form'!$N$34&amp;"*"))</f>
        <v>0</v>
      </c>
    </row>
    <row r="571" spans="3:3">
      <c r="C571">
        <f>IF('Change Request Form'!$N$34="",0,COUNTIF(B571,"*"&amp;'Change Request Form'!$N$34&amp;"*"))</f>
        <v>0</v>
      </c>
    </row>
    <row r="572" spans="3:3">
      <c r="C572">
        <f>IF('Change Request Form'!$N$34="",0,COUNTIF(B572,"*"&amp;'Change Request Form'!$N$34&amp;"*"))</f>
        <v>0</v>
      </c>
    </row>
    <row r="573" spans="3:3">
      <c r="C573">
        <f>IF('Change Request Form'!$N$34="",0,COUNTIF(B573,"*"&amp;'Change Request Form'!$N$34&amp;"*"))</f>
        <v>0</v>
      </c>
    </row>
    <row r="574" spans="3:3">
      <c r="C574">
        <f>IF('Change Request Form'!$N$34="",0,COUNTIF(B574,"*"&amp;'Change Request Form'!$N$34&amp;"*"))</f>
        <v>0</v>
      </c>
    </row>
    <row r="575" spans="3:3">
      <c r="C575">
        <f>IF('Change Request Form'!$N$34="",0,COUNTIF(B575,"*"&amp;'Change Request Form'!$N$34&amp;"*"))</f>
        <v>0</v>
      </c>
    </row>
    <row r="576" spans="3:3">
      <c r="C576">
        <f>IF('Change Request Form'!$N$34="",0,COUNTIF(B576,"*"&amp;'Change Request Form'!$N$34&amp;"*"))</f>
        <v>0</v>
      </c>
    </row>
    <row r="577" spans="3:3">
      <c r="C577">
        <f>IF('Change Request Form'!$N$34="",0,COUNTIF(B577,"*"&amp;'Change Request Form'!$N$34&amp;"*"))</f>
        <v>0</v>
      </c>
    </row>
    <row r="578" spans="3:3">
      <c r="C578">
        <f>IF('Change Request Form'!$N$34="",0,COUNTIF(B578,"*"&amp;'Change Request Form'!$N$34&amp;"*"))</f>
        <v>0</v>
      </c>
    </row>
    <row r="579" spans="3:3">
      <c r="C579">
        <f>IF('Change Request Form'!$N$34="",0,COUNTIF(B579,"*"&amp;'Change Request Form'!$N$34&amp;"*"))</f>
        <v>0</v>
      </c>
    </row>
    <row r="580" spans="3:3">
      <c r="C580">
        <f>IF('Change Request Form'!$N$34="",0,COUNTIF(B580,"*"&amp;'Change Request Form'!$N$34&amp;"*"))</f>
        <v>0</v>
      </c>
    </row>
    <row r="581" spans="3:3">
      <c r="C581">
        <f>IF('Change Request Form'!$N$34="",0,COUNTIF(B581,"*"&amp;'Change Request Form'!$N$34&amp;"*"))</f>
        <v>0</v>
      </c>
    </row>
    <row r="582" spans="3:3">
      <c r="C582">
        <f>IF('Change Request Form'!$N$34="",0,COUNTIF(B582,"*"&amp;'Change Request Form'!$N$34&amp;"*"))</f>
        <v>0</v>
      </c>
    </row>
    <row r="583" spans="3:3">
      <c r="C583">
        <f>IF('Change Request Form'!$N$34="",0,COUNTIF(B583,"*"&amp;'Change Request Form'!$N$34&amp;"*"))</f>
        <v>0</v>
      </c>
    </row>
    <row r="584" spans="3:3">
      <c r="C584">
        <f>IF('Change Request Form'!$N$34="",0,COUNTIF(B584,"*"&amp;'Change Request Form'!$N$34&amp;"*"))</f>
        <v>0</v>
      </c>
    </row>
    <row r="585" spans="3:3">
      <c r="C585">
        <f>IF('Change Request Form'!$N$34="",0,COUNTIF(B585,"*"&amp;'Change Request Form'!$N$34&amp;"*"))</f>
        <v>0</v>
      </c>
    </row>
    <row r="586" spans="3:3">
      <c r="C586">
        <f>IF('Change Request Form'!$N$34="",0,COUNTIF(B586,"*"&amp;'Change Request Form'!$N$34&amp;"*"))</f>
        <v>0</v>
      </c>
    </row>
    <row r="587" spans="3:3">
      <c r="C587">
        <f>IF('Change Request Form'!$N$34="",0,COUNTIF(B587,"*"&amp;'Change Request Form'!$N$34&amp;"*"))</f>
        <v>0</v>
      </c>
    </row>
    <row r="588" spans="3:3">
      <c r="C588">
        <f>IF('Change Request Form'!$N$34="",0,COUNTIF(B588,"*"&amp;'Change Request Form'!$N$34&amp;"*"))</f>
        <v>0</v>
      </c>
    </row>
    <row r="589" spans="3:3">
      <c r="C589">
        <f>IF('Change Request Form'!$N$34="",0,COUNTIF(B589,"*"&amp;'Change Request Form'!$N$34&amp;"*"))</f>
        <v>0</v>
      </c>
    </row>
    <row r="590" spans="3:3">
      <c r="C590">
        <f>IF('Change Request Form'!$N$34="",0,COUNTIF(B590,"*"&amp;'Change Request Form'!$N$34&amp;"*"))</f>
        <v>0</v>
      </c>
    </row>
    <row r="591" spans="3:3">
      <c r="C591">
        <f>IF('Change Request Form'!$N$34="",0,COUNTIF(B591,"*"&amp;'Change Request Form'!$N$34&amp;"*"))</f>
        <v>0</v>
      </c>
    </row>
    <row r="592" spans="3:3">
      <c r="C592">
        <f>IF('Change Request Form'!$N$34="",0,COUNTIF(B592,"*"&amp;'Change Request Form'!$N$34&amp;"*"))</f>
        <v>0</v>
      </c>
    </row>
    <row r="593" spans="1:3">
      <c r="C593">
        <f>IF('Change Request Form'!$N$34="",0,COUNTIF(B593,"*"&amp;'Change Request Form'!$N$34&amp;"*"))</f>
        <v>0</v>
      </c>
    </row>
    <row r="594" spans="1:3">
      <c r="C594">
        <f>IF('Change Request Form'!$N$34="",0,COUNTIF(B594,"*"&amp;'Change Request Form'!$N$34&amp;"*"))</f>
        <v>0</v>
      </c>
    </row>
    <row r="595" spans="1:3">
      <c r="C595">
        <f>IF('Change Request Form'!$N$34="",0,COUNTIF(B595,"*"&amp;'Change Request Form'!$N$34&amp;"*"))</f>
        <v>0</v>
      </c>
    </row>
    <row r="596" spans="1:3">
      <c r="C596">
        <f>IF('Change Request Form'!$N$34="",0,COUNTIF(B596,"*"&amp;'Change Request Form'!$N$34&amp;"*"))</f>
        <v>0</v>
      </c>
    </row>
    <row r="597" spans="1:3">
      <c r="C597">
        <f>IF('Change Request Form'!$N$34="",0,COUNTIF(B597,"*"&amp;'Change Request Form'!$N$34&amp;"*"))</f>
        <v>0</v>
      </c>
    </row>
    <row r="598" spans="1:3">
      <c r="C598">
        <f>IF('Change Request Form'!$N$34="",0,COUNTIF(B598,"*"&amp;'Change Request Form'!$N$34&amp;"*"))</f>
        <v>0</v>
      </c>
    </row>
    <row r="599" spans="1:3">
      <c r="C599">
        <f>IF('Change Request Form'!$N$34="",0,COUNTIF(B599,"*"&amp;'Change Request Form'!$N$34&amp;"*"))</f>
        <v>0</v>
      </c>
    </row>
    <row r="600" spans="1:3">
      <c r="C600">
        <f>IF('Change Request Form'!$N$34="",0,COUNTIF(B600,"*"&amp;'Change Request Form'!$N$34&amp;"*"))</f>
        <v>0</v>
      </c>
    </row>
    <row r="601" spans="1:3">
      <c r="C601">
        <f>IF('Change Request Form'!$N$34="",0,COUNTIF(B601,"*"&amp;'Change Request Form'!$N$34&amp;"*"))</f>
        <v>0</v>
      </c>
    </row>
    <row r="602" spans="1:3">
      <c r="C602">
        <f>IF('Change Request Form'!$N$34="",0,COUNTIF(B602,"*"&amp;'Change Request Form'!$N$34&amp;"*"))</f>
        <v>0</v>
      </c>
    </row>
    <row r="603" spans="1:3">
      <c r="C603">
        <f>IF('Change Request Form'!$N$34="",0,COUNTIF(B603,"*"&amp;'Change Request Form'!$N$34&amp;"*"))</f>
        <v>0</v>
      </c>
    </row>
    <row r="604" spans="1:3">
      <c r="C604">
        <f>IF('Change Request Form'!$N$34="",0,COUNTIF(B604,"*"&amp;'Change Request Form'!$N$34&amp;"*"))</f>
        <v>0</v>
      </c>
    </row>
    <row r="605" spans="1:3">
      <c r="A605" s="110"/>
      <c r="B605" s="103"/>
      <c r="C605">
        <f>IF('Change Request Form'!$N$34="",0,COUNTIF(B605,"*"&amp;'Change Request Form'!$N$34&amp;"*"))</f>
        <v>0</v>
      </c>
    </row>
    <row r="606" spans="1:3">
      <c r="C606">
        <f>IF('Change Request Form'!$N$34="",0,COUNTIF(B606,"*"&amp;'Change Request Form'!$N$34&amp;"*"))</f>
        <v>0</v>
      </c>
    </row>
    <row r="607" spans="1:3">
      <c r="A607" s="111"/>
      <c r="C607">
        <f>IF('Change Request Form'!$N$34="",0,COUNTIF(B607,"*"&amp;'Change Request Form'!$N$34&amp;"*"))</f>
        <v>0</v>
      </c>
    </row>
    <row r="608" spans="1:3">
      <c r="A608" s="111"/>
      <c r="C608">
        <f>IF('Change Request Form'!$N$34="",0,COUNTIF(B608,"*"&amp;'Change Request Form'!$N$34&amp;"*"))</f>
        <v>0</v>
      </c>
    </row>
    <row r="609" spans="1:3">
      <c r="A609" s="111"/>
      <c r="C609">
        <f>IF('Change Request Form'!$N$34="",0,COUNTIF(B609,"*"&amp;'Change Request Form'!$N$34&amp;"*"))</f>
        <v>0</v>
      </c>
    </row>
    <row r="610" spans="1:3">
      <c r="A610" s="111"/>
      <c r="C610">
        <f>IF('Change Request Form'!$N$34="",0,COUNTIF(B610,"*"&amp;'Change Request Form'!$N$34&amp;"*"))</f>
        <v>0</v>
      </c>
    </row>
    <row r="611" spans="1:3">
      <c r="A611" s="111"/>
      <c r="C611">
        <f>IF('Change Request Form'!$N$34="",0,COUNTIF(B611,"*"&amp;'Change Request Form'!$N$34&amp;"*"))</f>
        <v>0</v>
      </c>
    </row>
    <row r="612" spans="1:3">
      <c r="C612">
        <f>IF('Change Request Form'!$N$34="",0,COUNTIF(B612,"*"&amp;'Change Request Form'!$N$34&amp;"*"))</f>
        <v>0</v>
      </c>
    </row>
    <row r="613" spans="1:3">
      <c r="C613">
        <f>IF('Change Request Form'!$N$34="",0,COUNTIF(B613,"*"&amp;'Change Request Form'!$N$34&amp;"*"))</f>
        <v>0</v>
      </c>
    </row>
    <row r="614" spans="1:3">
      <c r="C614">
        <f>IF('Change Request Form'!$N$34="",0,COUNTIF(B614,"*"&amp;'Change Request Form'!$N$34&amp;"*"))</f>
        <v>0</v>
      </c>
    </row>
    <row r="615" spans="1:3">
      <c r="C615">
        <f>IF('Change Request Form'!$N$34="",0,COUNTIF(B615,"*"&amp;'Change Request Form'!$N$34&amp;"*"))</f>
        <v>0</v>
      </c>
    </row>
    <row r="616" spans="1:3">
      <c r="C616">
        <f>IF('Change Request Form'!$N$34="",0,COUNTIF(B616,"*"&amp;'Change Request Form'!$N$34&amp;"*"))</f>
        <v>0</v>
      </c>
    </row>
    <row r="617" spans="1:3">
      <c r="C617">
        <f>IF('Change Request Form'!$N$34="",0,COUNTIF(B617,"*"&amp;'Change Request Form'!$N$34&amp;"*"))</f>
        <v>0</v>
      </c>
    </row>
    <row r="618" spans="1:3">
      <c r="C618">
        <f>IF('Change Request Form'!$N$34="",0,COUNTIF(B618,"*"&amp;'Change Request Form'!$N$34&amp;"*"))</f>
        <v>0</v>
      </c>
    </row>
    <row r="619" spans="1:3">
      <c r="C619">
        <f>IF('Change Request Form'!$N$34="",0,COUNTIF(B619,"*"&amp;'Change Request Form'!$N$34&amp;"*"))</f>
        <v>0</v>
      </c>
    </row>
    <row r="620" spans="1:3">
      <c r="C620">
        <f>IF('Change Request Form'!$N$34="",0,COUNTIF(B620,"*"&amp;'Change Request Form'!$N$34&amp;"*"))</f>
        <v>0</v>
      </c>
    </row>
    <row r="621" spans="1:3">
      <c r="C621">
        <f>IF('Change Request Form'!$N$34="",0,COUNTIF(B621,"*"&amp;'Change Request Form'!$N$34&amp;"*"))</f>
        <v>0</v>
      </c>
    </row>
    <row r="622" spans="1:3">
      <c r="C622">
        <f>IF('Change Request Form'!$N$34="",0,COUNTIF(B622,"*"&amp;'Change Request Form'!$N$34&amp;"*"))</f>
        <v>0</v>
      </c>
    </row>
    <row r="623" spans="1:3">
      <c r="C623">
        <f>IF('Change Request Form'!$N$34="",0,COUNTIF(B623,"*"&amp;'Change Request Form'!$N$34&amp;"*"))</f>
        <v>0</v>
      </c>
    </row>
    <row r="624" spans="1:3">
      <c r="C624">
        <f>IF('Change Request Form'!$N$34="",0,COUNTIF(B624,"*"&amp;'Change Request Form'!$N$34&amp;"*"))</f>
        <v>0</v>
      </c>
    </row>
    <row r="625" spans="3:3">
      <c r="C625">
        <f>IF('Change Request Form'!$N$34="",0,COUNTIF(B625,"*"&amp;'Change Request Form'!$N$34&amp;"*"))</f>
        <v>0</v>
      </c>
    </row>
    <row r="626" spans="3:3">
      <c r="C626">
        <f>IF('Change Request Form'!$N$34="",0,COUNTIF(B626,"*"&amp;'Change Request Form'!$N$34&amp;"*"))</f>
        <v>0</v>
      </c>
    </row>
    <row r="627" spans="3:3">
      <c r="C627">
        <f>IF('Change Request Form'!$N$34="",0,COUNTIF(B627,"*"&amp;'Change Request Form'!$N$34&amp;"*"))</f>
        <v>0</v>
      </c>
    </row>
    <row r="628" spans="3:3">
      <c r="C628">
        <f>IF('Change Request Form'!$N$34="",0,COUNTIF(B628,"*"&amp;'Change Request Form'!$N$34&amp;"*"))</f>
        <v>0</v>
      </c>
    </row>
    <row r="629" spans="3:3">
      <c r="C629">
        <f>IF('Change Request Form'!$N$34="",0,COUNTIF(B629,"*"&amp;'Change Request Form'!$N$34&amp;"*"))</f>
        <v>0</v>
      </c>
    </row>
    <row r="630" spans="3:3">
      <c r="C630">
        <f>IF('Change Request Form'!$N$34="",0,COUNTIF(B630,"*"&amp;'Change Request Form'!$N$34&amp;"*"))</f>
        <v>0</v>
      </c>
    </row>
    <row r="631" spans="3:3">
      <c r="C631">
        <f>IF('Change Request Form'!$N$34="",0,COUNTIF(B631,"*"&amp;'Change Request Form'!$N$34&amp;"*"))</f>
        <v>0</v>
      </c>
    </row>
    <row r="632" spans="3:3">
      <c r="C632">
        <f>IF('Change Request Form'!$N$34="",0,COUNTIF(B632,"*"&amp;'Change Request Form'!$N$34&amp;"*"))</f>
        <v>0</v>
      </c>
    </row>
    <row r="633" spans="3:3">
      <c r="C633">
        <f>IF('Change Request Form'!$N$34="",0,COUNTIF(B633,"*"&amp;'Change Request Form'!$N$34&amp;"*"))</f>
        <v>0</v>
      </c>
    </row>
    <row r="634" spans="3:3">
      <c r="C634">
        <f>IF('Change Request Form'!$N$34="",0,COUNTIF(B634,"*"&amp;'Change Request Form'!$N$34&amp;"*"))</f>
        <v>0</v>
      </c>
    </row>
    <row r="635" spans="3:3">
      <c r="C635">
        <f>IF('Change Request Form'!$N$34="",0,COUNTIF(B635,"*"&amp;'Change Request Form'!$N$34&amp;"*"))</f>
        <v>0</v>
      </c>
    </row>
    <row r="636" spans="3:3">
      <c r="C636">
        <f>IF('Change Request Form'!$N$34="",0,COUNTIF(B636,"*"&amp;'Change Request Form'!$N$34&amp;"*"))</f>
        <v>0</v>
      </c>
    </row>
    <row r="637" spans="3:3">
      <c r="C637">
        <f>IF('Change Request Form'!$N$34="",0,COUNTIF(B637,"*"&amp;'Change Request Form'!$N$34&amp;"*"))</f>
        <v>0</v>
      </c>
    </row>
    <row r="638" spans="3:3">
      <c r="C638">
        <f>IF('Change Request Form'!$N$34="",0,COUNTIF(B638,"*"&amp;'Change Request Form'!$N$34&amp;"*"))</f>
        <v>0</v>
      </c>
    </row>
    <row r="639" spans="3:3">
      <c r="C639">
        <f>IF('Change Request Form'!$N$34="",0,COUNTIF(B639,"*"&amp;'Change Request Form'!$N$34&amp;"*"))</f>
        <v>0</v>
      </c>
    </row>
    <row r="640" spans="3:3">
      <c r="C640">
        <f>IF('Change Request Form'!$N$34="",0,COUNTIF(B640,"*"&amp;'Change Request Form'!$N$34&amp;"*"))</f>
        <v>0</v>
      </c>
    </row>
    <row r="641" spans="3:3">
      <c r="C641">
        <f>IF('Change Request Form'!$N$34="",0,COUNTIF(B641,"*"&amp;'Change Request Form'!$N$34&amp;"*"))</f>
        <v>0</v>
      </c>
    </row>
    <row r="642" spans="3:3">
      <c r="C642">
        <f>IF('Change Request Form'!$N$34="",0,COUNTIF(B642,"*"&amp;'Change Request Form'!$N$34&amp;"*"))</f>
        <v>0</v>
      </c>
    </row>
    <row r="643" spans="3:3">
      <c r="C643">
        <f>IF('Change Request Form'!$N$34="",0,COUNTIF(B643,"*"&amp;'Change Request Form'!$N$34&amp;"*"))</f>
        <v>0</v>
      </c>
    </row>
    <row r="644" spans="3:3">
      <c r="C644">
        <f>IF('Change Request Form'!$N$34="",0,COUNTIF(B644,"*"&amp;'Change Request Form'!$N$34&amp;"*"))</f>
        <v>0</v>
      </c>
    </row>
    <row r="645" spans="3:3">
      <c r="C645">
        <f>IF('Change Request Form'!$N$34="",0,COUNTIF(B645,"*"&amp;'Change Request Form'!$N$34&amp;"*"))</f>
        <v>0</v>
      </c>
    </row>
    <row r="646" spans="3:3">
      <c r="C646">
        <f>IF('Change Request Form'!$N$34="",0,COUNTIF(B646,"*"&amp;'Change Request Form'!$N$34&amp;"*"))</f>
        <v>0</v>
      </c>
    </row>
    <row r="647" spans="3:3">
      <c r="C647">
        <f>IF('Change Request Form'!$N$34="",0,COUNTIF(B647,"*"&amp;'Change Request Form'!$N$34&amp;"*"))</f>
        <v>0</v>
      </c>
    </row>
    <row r="648" spans="3:3">
      <c r="C648">
        <f>IF('Change Request Form'!$N$34="",0,COUNTIF(B648,"*"&amp;'Change Request Form'!$N$34&amp;"*"))</f>
        <v>0</v>
      </c>
    </row>
    <row r="649" spans="3:3">
      <c r="C649">
        <f>IF('Change Request Form'!$N$34="",0,COUNTIF(B649,"*"&amp;'Change Request Form'!$N$34&amp;"*"))</f>
        <v>0</v>
      </c>
    </row>
    <row r="650" spans="3:3">
      <c r="C650">
        <f>IF('Change Request Form'!$N$34="",0,COUNTIF(B650,"*"&amp;'Change Request Form'!$N$34&amp;"*"))</f>
        <v>0</v>
      </c>
    </row>
    <row r="651" spans="3:3">
      <c r="C651">
        <f>IF('Change Request Form'!$N$34="",0,COUNTIF(B651,"*"&amp;'Change Request Form'!$N$34&amp;"*"))</f>
        <v>0</v>
      </c>
    </row>
    <row r="652" spans="3:3">
      <c r="C652">
        <f>IF('Change Request Form'!$N$34="",0,COUNTIF(B652,"*"&amp;'Change Request Form'!$N$34&amp;"*"))</f>
        <v>0</v>
      </c>
    </row>
    <row r="653" spans="3:3">
      <c r="C653">
        <f>IF('Change Request Form'!$N$34="",0,COUNTIF(B653,"*"&amp;'Change Request Form'!$N$34&amp;"*"))</f>
        <v>0</v>
      </c>
    </row>
    <row r="654" spans="3:3">
      <c r="C654">
        <f>IF('Change Request Form'!$N$34="",0,COUNTIF(B654,"*"&amp;'Change Request Form'!$N$34&amp;"*"))</f>
        <v>0</v>
      </c>
    </row>
    <row r="655" spans="3:3">
      <c r="C655">
        <f>IF('Change Request Form'!$N$34="",0,COUNTIF(B655,"*"&amp;'Change Request Form'!$N$34&amp;"*"))</f>
        <v>0</v>
      </c>
    </row>
    <row r="656" spans="3:3">
      <c r="C656">
        <f>IF('Change Request Form'!$N$34="",0,COUNTIF(B656,"*"&amp;'Change Request Form'!$N$34&amp;"*"))</f>
        <v>0</v>
      </c>
    </row>
    <row r="657" spans="3:3">
      <c r="C657">
        <f>IF('Change Request Form'!$N$34="",0,COUNTIF(B657,"*"&amp;'Change Request Form'!$N$34&amp;"*"))</f>
        <v>0</v>
      </c>
    </row>
    <row r="658" spans="3:3">
      <c r="C658">
        <f>IF('Change Request Form'!$N$34="",0,COUNTIF(B658,"*"&amp;'Change Request Form'!$N$34&amp;"*"))</f>
        <v>0</v>
      </c>
    </row>
    <row r="659" spans="3:3">
      <c r="C659">
        <f>IF('Change Request Form'!$N$34="",0,COUNTIF(B659,"*"&amp;'Change Request Form'!$N$34&amp;"*"))</f>
        <v>0</v>
      </c>
    </row>
    <row r="660" spans="3:3">
      <c r="C660">
        <f>IF('Change Request Form'!$N$34="",0,COUNTIF(B660,"*"&amp;'Change Request Form'!$N$34&amp;"*"))</f>
        <v>0</v>
      </c>
    </row>
    <row r="661" spans="3:3">
      <c r="C661">
        <f>IF('Change Request Form'!$N$34="",0,COUNTIF(B661,"*"&amp;'Change Request Form'!$N$34&amp;"*"))</f>
        <v>0</v>
      </c>
    </row>
    <row r="662" spans="3:3">
      <c r="C662">
        <f>IF('Change Request Form'!$N$34="",0,COUNTIF(B662,"*"&amp;'Change Request Form'!$N$34&amp;"*"))</f>
        <v>0</v>
      </c>
    </row>
    <row r="663" spans="3:3">
      <c r="C663">
        <f>IF('Change Request Form'!$N$34="",0,COUNTIF(B663,"*"&amp;'Change Request Form'!$N$34&amp;"*"))</f>
        <v>0</v>
      </c>
    </row>
    <row r="664" spans="3:3">
      <c r="C664">
        <f>IF('Change Request Form'!$N$34="",0,COUNTIF(B664,"*"&amp;'Change Request Form'!$N$34&amp;"*"))</f>
        <v>0</v>
      </c>
    </row>
    <row r="665" spans="3:3">
      <c r="C665">
        <f>IF('Change Request Form'!$N$34="",0,COUNTIF(B665,"*"&amp;'Change Request Form'!$N$34&amp;"*"))</f>
        <v>0</v>
      </c>
    </row>
    <row r="666" spans="3:3">
      <c r="C666">
        <f>IF('Change Request Form'!$N$34="",0,COUNTIF(B666,"*"&amp;'Change Request Form'!$N$34&amp;"*"))</f>
        <v>0</v>
      </c>
    </row>
    <row r="667" spans="3:3">
      <c r="C667">
        <f>IF('Change Request Form'!$N$34="",0,COUNTIF(B667,"*"&amp;'Change Request Form'!$N$34&amp;"*"))</f>
        <v>0</v>
      </c>
    </row>
    <row r="668" spans="3:3">
      <c r="C668">
        <f>IF('Change Request Form'!$N$34="",0,COUNTIF(B668,"*"&amp;'Change Request Form'!$N$34&amp;"*"))</f>
        <v>0</v>
      </c>
    </row>
    <row r="669" spans="3:3">
      <c r="C669">
        <f>IF('Change Request Form'!$N$34="",0,COUNTIF(B669,"*"&amp;'Change Request Form'!$N$34&amp;"*"))</f>
        <v>0</v>
      </c>
    </row>
    <row r="670" spans="3:3">
      <c r="C670">
        <f>IF('Change Request Form'!$N$34="",0,COUNTIF(B670,"*"&amp;'Change Request Form'!$N$34&amp;"*"))</f>
        <v>0</v>
      </c>
    </row>
    <row r="671" spans="3:3">
      <c r="C671">
        <f>IF('Change Request Form'!$N$34="",0,COUNTIF(B671,"*"&amp;'Change Request Form'!$N$34&amp;"*"))</f>
        <v>0</v>
      </c>
    </row>
    <row r="672" spans="3:3">
      <c r="C672">
        <f>IF('Change Request Form'!$N$34="",0,COUNTIF(B672,"*"&amp;'Change Request Form'!$N$34&amp;"*"))</f>
        <v>0</v>
      </c>
    </row>
    <row r="673" spans="3:3">
      <c r="C673">
        <f>IF('Change Request Form'!$N$34="",0,COUNTIF(B673,"*"&amp;'Change Request Form'!$N$34&amp;"*"))</f>
        <v>0</v>
      </c>
    </row>
    <row r="674" spans="3:3">
      <c r="C674">
        <f>IF('Change Request Form'!$N$34="",0,COUNTIF(B674,"*"&amp;'Change Request Form'!$N$34&amp;"*"))</f>
        <v>0</v>
      </c>
    </row>
    <row r="675" spans="3:3">
      <c r="C675">
        <f>IF('Change Request Form'!$N$34="",0,COUNTIF(B675,"*"&amp;'Change Request Form'!$N$34&amp;"*"))</f>
        <v>0</v>
      </c>
    </row>
    <row r="676" spans="3:3">
      <c r="C676">
        <f>IF('Change Request Form'!$N$34="",0,COUNTIF(B676,"*"&amp;'Change Request Form'!$N$34&amp;"*"))</f>
        <v>0</v>
      </c>
    </row>
    <row r="677" spans="3:3">
      <c r="C677">
        <f>IF('Change Request Form'!$N$34="",0,COUNTIF(B677,"*"&amp;'Change Request Form'!$N$34&amp;"*"))</f>
        <v>0</v>
      </c>
    </row>
    <row r="678" spans="3:3">
      <c r="C678">
        <f>IF('Change Request Form'!$N$34="",0,COUNTIF(B678,"*"&amp;'Change Request Form'!$N$34&amp;"*"))</f>
        <v>0</v>
      </c>
    </row>
    <row r="679" spans="3:3">
      <c r="C679">
        <f>IF('Change Request Form'!$N$34="",0,COUNTIF(B679,"*"&amp;'Change Request Form'!$N$34&amp;"*"))</f>
        <v>0</v>
      </c>
    </row>
    <row r="680" spans="3:3">
      <c r="C680">
        <f>IF('Change Request Form'!$N$34="",0,COUNTIF(B680,"*"&amp;'Change Request Form'!$N$34&amp;"*"))</f>
        <v>0</v>
      </c>
    </row>
    <row r="681" spans="3:3">
      <c r="C681">
        <f>IF('Change Request Form'!$N$34="",0,COUNTIF(B681,"*"&amp;'Change Request Form'!$N$34&amp;"*"))</f>
        <v>0</v>
      </c>
    </row>
    <row r="682" spans="3:3">
      <c r="C682">
        <f>IF('Change Request Form'!$N$34="",0,COUNTIF(B682,"*"&amp;'Change Request Form'!$N$34&amp;"*"))</f>
        <v>0</v>
      </c>
    </row>
    <row r="683" spans="3:3">
      <c r="C683">
        <f>IF('Change Request Form'!$N$34="",0,COUNTIF(B683,"*"&amp;'Change Request Form'!$N$34&amp;"*"))</f>
        <v>0</v>
      </c>
    </row>
    <row r="684" spans="3:3">
      <c r="C684">
        <f>IF('Change Request Form'!$N$34="",0,COUNTIF(B684,"*"&amp;'Change Request Form'!$N$34&amp;"*"))</f>
        <v>0</v>
      </c>
    </row>
    <row r="685" spans="3:3">
      <c r="C685">
        <f>IF('Change Request Form'!$N$34="",0,COUNTIF(B685,"*"&amp;'Change Request Form'!$N$34&amp;"*"))</f>
        <v>0</v>
      </c>
    </row>
    <row r="686" spans="3:3">
      <c r="C686">
        <f>IF('Change Request Form'!$N$34="",0,COUNTIF(B686,"*"&amp;'Change Request Form'!$N$34&amp;"*"))</f>
        <v>0</v>
      </c>
    </row>
    <row r="687" spans="3:3">
      <c r="C687">
        <f>IF('Change Request Form'!$N$34="",0,COUNTIF(B687,"*"&amp;'Change Request Form'!$N$34&amp;"*"))</f>
        <v>0</v>
      </c>
    </row>
    <row r="688" spans="3:3">
      <c r="C688">
        <f>IF('Change Request Form'!$N$34="",0,COUNTIF(B688,"*"&amp;'Change Request Form'!$N$34&amp;"*"))</f>
        <v>0</v>
      </c>
    </row>
    <row r="689" spans="3:3">
      <c r="C689">
        <f>IF('Change Request Form'!$N$34="",0,COUNTIF(B689,"*"&amp;'Change Request Form'!$N$34&amp;"*"))</f>
        <v>0</v>
      </c>
    </row>
    <row r="690" spans="3:3">
      <c r="C690">
        <f>IF('Change Request Form'!$N$34="",0,COUNTIF(B690,"*"&amp;'Change Request Form'!$N$34&amp;"*"))</f>
        <v>0</v>
      </c>
    </row>
    <row r="691" spans="3:3">
      <c r="C691">
        <f>IF('Change Request Form'!$N$34="",0,COUNTIF(B691,"*"&amp;'Change Request Form'!$N$34&amp;"*"))</f>
        <v>0</v>
      </c>
    </row>
    <row r="692" spans="3:3">
      <c r="C692">
        <f>IF('Change Request Form'!$N$34="",0,COUNTIF(B692,"*"&amp;'Change Request Form'!$N$34&amp;"*"))</f>
        <v>0</v>
      </c>
    </row>
    <row r="693" spans="3:3">
      <c r="C693">
        <f>IF('Change Request Form'!$N$34="",0,COUNTIF(B693,"*"&amp;'Change Request Form'!$N$34&amp;"*"))</f>
        <v>0</v>
      </c>
    </row>
    <row r="694" spans="3:3">
      <c r="C694">
        <f>IF('Change Request Form'!$N$34="",0,COUNTIF(B694,"*"&amp;'Change Request Form'!$N$34&amp;"*"))</f>
        <v>0</v>
      </c>
    </row>
    <row r="695" spans="3:3">
      <c r="C695">
        <f>IF('Change Request Form'!$N$34="",0,COUNTIF(B695,"*"&amp;'Change Request Form'!$N$34&amp;"*"))</f>
        <v>0</v>
      </c>
    </row>
    <row r="696" spans="3:3">
      <c r="C696">
        <f>IF('Change Request Form'!$N$34="",0,COUNTIF(B696,"*"&amp;'Change Request Form'!$N$34&amp;"*"))</f>
        <v>0</v>
      </c>
    </row>
    <row r="697" spans="3:3">
      <c r="C697">
        <f>IF('Change Request Form'!$N$34="",0,COUNTIF(B697,"*"&amp;'Change Request Form'!$N$34&amp;"*"))</f>
        <v>0</v>
      </c>
    </row>
    <row r="698" spans="3:3">
      <c r="C698">
        <f>IF('Change Request Form'!$N$34="",0,COUNTIF(B698,"*"&amp;'Change Request Form'!$N$34&amp;"*"))</f>
        <v>0</v>
      </c>
    </row>
    <row r="699" spans="3:3">
      <c r="C699">
        <f>IF('Change Request Form'!$N$34="",0,COUNTIF(B699,"*"&amp;'Change Request Form'!$N$34&amp;"*"))</f>
        <v>0</v>
      </c>
    </row>
    <row r="700" spans="3:3">
      <c r="C700">
        <f>IF('Change Request Form'!$N$34="",0,COUNTIF(B700,"*"&amp;'Change Request Form'!$N$34&amp;"*"))</f>
        <v>0</v>
      </c>
    </row>
    <row r="701" spans="3:3">
      <c r="C701">
        <f>IF('Change Request Form'!$N$34="",0,COUNTIF(B701,"*"&amp;'Change Request Form'!$N$34&amp;"*"))</f>
        <v>0</v>
      </c>
    </row>
    <row r="702" spans="3:3">
      <c r="C702">
        <f>IF('Change Request Form'!$N$34="",0,COUNTIF(B702,"*"&amp;'Change Request Form'!$N$34&amp;"*"))</f>
        <v>0</v>
      </c>
    </row>
    <row r="703" spans="3:3">
      <c r="C703">
        <f>IF('Change Request Form'!$N$34="",0,COUNTIF(B703,"*"&amp;'Change Request Form'!$N$34&amp;"*"))</f>
        <v>0</v>
      </c>
    </row>
    <row r="704" spans="3:3">
      <c r="C704">
        <f>IF('Change Request Form'!$N$34="",0,COUNTIF(B704,"*"&amp;'Change Request Form'!$N$34&amp;"*"))</f>
        <v>0</v>
      </c>
    </row>
    <row r="705" spans="3:3">
      <c r="C705">
        <f>IF('Change Request Form'!$N$34="",0,COUNTIF(B705,"*"&amp;'Change Request Form'!$N$34&amp;"*"))</f>
        <v>0</v>
      </c>
    </row>
    <row r="706" spans="3:3">
      <c r="C706">
        <f>IF('Change Request Form'!$N$34="",0,COUNTIF(B706,"*"&amp;'Change Request Form'!$N$34&amp;"*"))</f>
        <v>0</v>
      </c>
    </row>
    <row r="707" spans="3:3">
      <c r="C707">
        <f>IF('Change Request Form'!$N$34="",0,COUNTIF(B707,"*"&amp;'Change Request Form'!$N$34&amp;"*"))</f>
        <v>0</v>
      </c>
    </row>
    <row r="708" spans="3:3">
      <c r="C708">
        <f>IF('Change Request Form'!$N$34="",0,COUNTIF(B708,"*"&amp;'Change Request Form'!$N$34&amp;"*"))</f>
        <v>0</v>
      </c>
    </row>
    <row r="709" spans="3:3">
      <c r="C709">
        <f>IF('Change Request Form'!$N$34="",0,COUNTIF(B709,"*"&amp;'Change Request Form'!$N$34&amp;"*"))</f>
        <v>0</v>
      </c>
    </row>
    <row r="710" spans="3:3">
      <c r="C710">
        <f>IF('Change Request Form'!$N$34="",0,COUNTIF(B710,"*"&amp;'Change Request Form'!$N$34&amp;"*"))</f>
        <v>0</v>
      </c>
    </row>
    <row r="711" spans="3:3">
      <c r="C711">
        <f>IF('Change Request Form'!$N$34="",0,COUNTIF(B711,"*"&amp;'Change Request Form'!$N$34&amp;"*"))</f>
        <v>0</v>
      </c>
    </row>
    <row r="712" spans="3:3">
      <c r="C712">
        <f>IF('Change Request Form'!$N$34="",0,COUNTIF(B712,"*"&amp;'Change Request Form'!$N$34&amp;"*"))</f>
        <v>0</v>
      </c>
    </row>
    <row r="713" spans="3:3">
      <c r="C713">
        <f>IF('Change Request Form'!$N$34="",0,COUNTIF(B713,"*"&amp;'Change Request Form'!$N$34&amp;"*"))</f>
        <v>0</v>
      </c>
    </row>
    <row r="714" spans="3:3">
      <c r="C714">
        <f>IF('Change Request Form'!$N$34="",0,COUNTIF(B714,"*"&amp;'Change Request Form'!$N$34&amp;"*"))</f>
        <v>0</v>
      </c>
    </row>
    <row r="715" spans="3:3">
      <c r="C715">
        <f>IF('Change Request Form'!$N$34="",0,COUNTIF(B715,"*"&amp;'Change Request Form'!$N$34&amp;"*"))</f>
        <v>0</v>
      </c>
    </row>
    <row r="716" spans="3:3">
      <c r="C716">
        <f>IF('Change Request Form'!$N$34="",0,COUNTIF(B716,"*"&amp;'Change Request Form'!$N$34&amp;"*"))</f>
        <v>0</v>
      </c>
    </row>
    <row r="717" spans="3:3">
      <c r="C717">
        <f>IF('Change Request Form'!$N$34="",0,COUNTIF(B717,"*"&amp;'Change Request Form'!$N$34&amp;"*"))</f>
        <v>0</v>
      </c>
    </row>
    <row r="718" spans="3:3">
      <c r="C718">
        <f>IF('Change Request Form'!$N$34="",0,COUNTIF(B718,"*"&amp;'Change Request Form'!$N$34&amp;"*"))</f>
        <v>0</v>
      </c>
    </row>
    <row r="719" spans="3:3">
      <c r="C719">
        <f>IF('Change Request Form'!$N$34="",0,COUNTIF(B719,"*"&amp;'Change Request Form'!$N$34&amp;"*"))</f>
        <v>0</v>
      </c>
    </row>
    <row r="720" spans="3:3">
      <c r="C720">
        <f>IF('Change Request Form'!$N$34="",0,COUNTIF(B720,"*"&amp;'Change Request Form'!$N$34&amp;"*"))</f>
        <v>0</v>
      </c>
    </row>
    <row r="721" spans="3:3">
      <c r="C721">
        <f>IF('Change Request Form'!$N$34="",0,COUNTIF(B721,"*"&amp;'Change Request Form'!$N$34&amp;"*"))</f>
        <v>0</v>
      </c>
    </row>
    <row r="722" spans="3:3">
      <c r="C722">
        <f>IF('Change Request Form'!$N$34="",0,COUNTIF(B722,"*"&amp;'Change Request Form'!$N$34&amp;"*"))</f>
        <v>0</v>
      </c>
    </row>
    <row r="723" spans="3:3">
      <c r="C723">
        <f>IF('Change Request Form'!$N$34="",0,COUNTIF(B723,"*"&amp;'Change Request Form'!$N$34&amp;"*"))</f>
        <v>0</v>
      </c>
    </row>
    <row r="724" spans="3:3">
      <c r="C724">
        <f>IF('Change Request Form'!$N$34="",0,COUNTIF(B724,"*"&amp;'Change Request Form'!$N$34&amp;"*"))</f>
        <v>0</v>
      </c>
    </row>
    <row r="725" spans="3:3">
      <c r="C725">
        <f>IF('Change Request Form'!$N$34="",0,COUNTIF(B725,"*"&amp;'Change Request Form'!$N$34&amp;"*"))</f>
        <v>0</v>
      </c>
    </row>
    <row r="726" spans="3:3">
      <c r="C726">
        <f>IF('Change Request Form'!$N$34="",0,COUNTIF(B726,"*"&amp;'Change Request Form'!$N$34&amp;"*"))</f>
        <v>0</v>
      </c>
    </row>
    <row r="727" spans="3:3">
      <c r="C727">
        <f>IF('Change Request Form'!$N$34="",0,COUNTIF(B727,"*"&amp;'Change Request Form'!$N$34&amp;"*"))</f>
        <v>0</v>
      </c>
    </row>
    <row r="728" spans="3:3">
      <c r="C728">
        <f>IF('Change Request Form'!$N$34="",0,COUNTIF(B728,"*"&amp;'Change Request Form'!$N$34&amp;"*"))</f>
        <v>0</v>
      </c>
    </row>
    <row r="729" spans="3:3">
      <c r="C729">
        <f>IF('Change Request Form'!$N$34="",0,COUNTIF(B729,"*"&amp;'Change Request Form'!$N$34&amp;"*"))</f>
        <v>0</v>
      </c>
    </row>
    <row r="730" spans="3:3">
      <c r="C730">
        <f>IF('Change Request Form'!$N$34="",0,COUNTIF(B730,"*"&amp;'Change Request Form'!$N$34&amp;"*"))</f>
        <v>0</v>
      </c>
    </row>
    <row r="731" spans="3:3">
      <c r="C731">
        <f>IF('Change Request Form'!$N$34="",0,COUNTIF(B731,"*"&amp;'Change Request Form'!$N$34&amp;"*"))</f>
        <v>0</v>
      </c>
    </row>
    <row r="732" spans="3:3">
      <c r="C732">
        <f>IF('Change Request Form'!$N$34="",0,COUNTIF(B732,"*"&amp;'Change Request Form'!$N$34&amp;"*"))</f>
        <v>0</v>
      </c>
    </row>
    <row r="733" spans="3:3">
      <c r="C733">
        <f>IF('Change Request Form'!$N$34="",0,COUNTIF(B733,"*"&amp;'Change Request Form'!$N$34&amp;"*"))</f>
        <v>0</v>
      </c>
    </row>
    <row r="734" spans="3:3">
      <c r="C734">
        <f>IF('Change Request Form'!$N$34="",0,COUNTIF(B734,"*"&amp;'Change Request Form'!$N$34&amp;"*"))</f>
        <v>0</v>
      </c>
    </row>
    <row r="735" spans="3:3">
      <c r="C735">
        <f>IF('Change Request Form'!$N$34="",0,COUNTIF(B735,"*"&amp;'Change Request Form'!$N$34&amp;"*"))</f>
        <v>0</v>
      </c>
    </row>
    <row r="736" spans="3:3">
      <c r="C736">
        <f>IF('Change Request Form'!$N$34="",0,COUNTIF(B736,"*"&amp;'Change Request Form'!$N$34&amp;"*"))</f>
        <v>0</v>
      </c>
    </row>
    <row r="737" spans="3:3">
      <c r="C737">
        <f>IF('Change Request Form'!$N$34="",0,COUNTIF(B737,"*"&amp;'Change Request Form'!$N$34&amp;"*"))</f>
        <v>0</v>
      </c>
    </row>
    <row r="738" spans="3:3">
      <c r="C738">
        <f>IF('Change Request Form'!$N$34="",0,COUNTIF(B738,"*"&amp;'Change Request Form'!$N$34&amp;"*"))</f>
        <v>0</v>
      </c>
    </row>
    <row r="739" spans="3:3">
      <c r="C739">
        <f>IF('Change Request Form'!$N$34="",0,COUNTIF(B739,"*"&amp;'Change Request Form'!$N$34&amp;"*"))</f>
        <v>0</v>
      </c>
    </row>
    <row r="740" spans="3:3">
      <c r="C740">
        <f>IF('Change Request Form'!$N$34="",0,COUNTIF(B740,"*"&amp;'Change Request Form'!$N$34&amp;"*"))</f>
        <v>0</v>
      </c>
    </row>
    <row r="741" spans="3:3">
      <c r="C741">
        <f>IF('Change Request Form'!$N$34="",0,COUNTIF(B741,"*"&amp;'Change Request Form'!$N$34&amp;"*"))</f>
        <v>0</v>
      </c>
    </row>
    <row r="742" spans="3:3">
      <c r="C742">
        <f>IF('Change Request Form'!$N$34="",0,COUNTIF(B742,"*"&amp;'Change Request Form'!$N$34&amp;"*"))</f>
        <v>0</v>
      </c>
    </row>
    <row r="743" spans="3:3">
      <c r="C743">
        <f>IF('Change Request Form'!$N$34="",0,COUNTIF(B743,"*"&amp;'Change Request Form'!$N$34&amp;"*"))</f>
        <v>0</v>
      </c>
    </row>
    <row r="744" spans="3:3">
      <c r="C744">
        <f>IF('Change Request Form'!$N$34="",0,COUNTIF(B744,"*"&amp;'Change Request Form'!$N$34&amp;"*"))</f>
        <v>0</v>
      </c>
    </row>
    <row r="745" spans="3:3">
      <c r="C745">
        <f>IF('Change Request Form'!$N$34="",0,COUNTIF(B745,"*"&amp;'Change Request Form'!$N$34&amp;"*"))</f>
        <v>0</v>
      </c>
    </row>
    <row r="746" spans="3:3">
      <c r="C746">
        <f>IF('Change Request Form'!$N$34="",0,COUNTIF(B746,"*"&amp;'Change Request Form'!$N$34&amp;"*"))</f>
        <v>0</v>
      </c>
    </row>
    <row r="747" spans="3:3">
      <c r="C747">
        <f>IF('Change Request Form'!$N$34="",0,COUNTIF(B747,"*"&amp;'Change Request Form'!$N$34&amp;"*"))</f>
        <v>0</v>
      </c>
    </row>
    <row r="748" spans="3:3">
      <c r="C748">
        <f>IF('Change Request Form'!$N$34="",0,COUNTIF(B748,"*"&amp;'Change Request Form'!$N$34&amp;"*"))</f>
        <v>0</v>
      </c>
    </row>
    <row r="749" spans="3:3">
      <c r="C749">
        <f>IF('Change Request Form'!$N$34="",0,COUNTIF(B749,"*"&amp;'Change Request Form'!$N$34&amp;"*"))</f>
        <v>0</v>
      </c>
    </row>
    <row r="750" spans="3:3">
      <c r="C750">
        <f>IF('Change Request Form'!$N$34="",0,COUNTIF(B750,"*"&amp;'Change Request Form'!$N$34&amp;"*"))</f>
        <v>0</v>
      </c>
    </row>
    <row r="751" spans="3:3">
      <c r="C751">
        <f>IF('Change Request Form'!$N$34="",0,COUNTIF(B751,"*"&amp;'Change Request Form'!$N$34&amp;"*"))</f>
        <v>0</v>
      </c>
    </row>
    <row r="752" spans="3:3">
      <c r="C752">
        <f>IF('Change Request Form'!$N$34="",0,COUNTIF(B752,"*"&amp;'Change Request Form'!$N$34&amp;"*"))</f>
        <v>0</v>
      </c>
    </row>
    <row r="753" spans="3:3">
      <c r="C753">
        <f>IF('Change Request Form'!$N$34="",0,COUNTIF(B753,"*"&amp;'Change Request Form'!$N$34&amp;"*"))</f>
        <v>0</v>
      </c>
    </row>
    <row r="754" spans="3:3">
      <c r="C754">
        <f>IF('Change Request Form'!$N$34="",0,COUNTIF(B754,"*"&amp;'Change Request Form'!$N$34&amp;"*"))</f>
        <v>0</v>
      </c>
    </row>
    <row r="755" spans="3:3">
      <c r="C755">
        <f>IF('Change Request Form'!$N$34="",0,COUNTIF(B755,"*"&amp;'Change Request Form'!$N$34&amp;"*"))</f>
        <v>0</v>
      </c>
    </row>
    <row r="756" spans="3:3">
      <c r="C756">
        <f>IF('Change Request Form'!$N$34="",0,COUNTIF(B756,"*"&amp;'Change Request Form'!$N$34&amp;"*"))</f>
        <v>0</v>
      </c>
    </row>
    <row r="757" spans="3:3">
      <c r="C757">
        <f>IF('Change Request Form'!$N$34="",0,COUNTIF(B757,"*"&amp;'Change Request Form'!$N$34&amp;"*"))</f>
        <v>0</v>
      </c>
    </row>
    <row r="758" spans="3:3">
      <c r="C758">
        <f>IF('Change Request Form'!$N$34="",0,COUNTIF(B758,"*"&amp;'Change Request Form'!$N$34&amp;"*"))</f>
        <v>0</v>
      </c>
    </row>
    <row r="759" spans="3:3">
      <c r="C759">
        <f>IF('Change Request Form'!$N$34="",0,COUNTIF(B759,"*"&amp;'Change Request Form'!$N$34&amp;"*"))</f>
        <v>0</v>
      </c>
    </row>
    <row r="760" spans="3:3">
      <c r="C760">
        <f>IF('Change Request Form'!$N$34="",0,COUNTIF(B760,"*"&amp;'Change Request Form'!$N$34&amp;"*"))</f>
        <v>0</v>
      </c>
    </row>
    <row r="761" spans="3:3">
      <c r="C761">
        <f>IF('Change Request Form'!$N$34="",0,COUNTIF(B761,"*"&amp;'Change Request Form'!$N$34&amp;"*"))</f>
        <v>0</v>
      </c>
    </row>
    <row r="762" spans="3:3">
      <c r="C762">
        <f>IF('Change Request Form'!$N$34="",0,COUNTIF(B762,"*"&amp;'Change Request Form'!$N$34&amp;"*"))</f>
        <v>0</v>
      </c>
    </row>
    <row r="763" spans="3:3">
      <c r="C763">
        <f>IF('Change Request Form'!$N$34="",0,COUNTIF(B763,"*"&amp;'Change Request Form'!$N$34&amp;"*"))</f>
        <v>0</v>
      </c>
    </row>
    <row r="764" spans="3:3">
      <c r="C764">
        <f>IF('Change Request Form'!$N$34="",0,COUNTIF(B764,"*"&amp;'Change Request Form'!$N$34&amp;"*"))</f>
        <v>0</v>
      </c>
    </row>
    <row r="765" spans="3:3">
      <c r="C765">
        <f>IF('Change Request Form'!$N$34="",0,COUNTIF(B765,"*"&amp;'Change Request Form'!$N$34&amp;"*"))</f>
        <v>0</v>
      </c>
    </row>
    <row r="766" spans="3:3">
      <c r="C766">
        <f>IF('Change Request Form'!$N$34="",0,COUNTIF(B766,"*"&amp;'Change Request Form'!$N$34&amp;"*"))</f>
        <v>0</v>
      </c>
    </row>
    <row r="767" spans="3:3">
      <c r="C767">
        <f>IF('Change Request Form'!$N$34="",0,COUNTIF(B767,"*"&amp;'Change Request Form'!$N$34&amp;"*"))</f>
        <v>0</v>
      </c>
    </row>
    <row r="768" spans="3:3">
      <c r="C768">
        <f>IF('Change Request Form'!$N$34="",0,COUNTIF(B768,"*"&amp;'Change Request Form'!$N$34&amp;"*"))</f>
        <v>0</v>
      </c>
    </row>
    <row r="769" spans="3:3">
      <c r="C769">
        <f>IF('Change Request Form'!$N$34="",0,COUNTIF(B769,"*"&amp;'Change Request Form'!$N$34&amp;"*"))</f>
        <v>0</v>
      </c>
    </row>
    <row r="770" spans="3:3">
      <c r="C770">
        <f>IF('Change Request Form'!$N$34="",0,COUNTIF(B770,"*"&amp;'Change Request Form'!$N$34&amp;"*"))</f>
        <v>0</v>
      </c>
    </row>
    <row r="771" spans="3:3">
      <c r="C771">
        <f>IF('Change Request Form'!$N$34="",0,COUNTIF(B771,"*"&amp;'Change Request Form'!$N$34&amp;"*"))</f>
        <v>0</v>
      </c>
    </row>
    <row r="772" spans="3:3">
      <c r="C772">
        <f>IF('Change Request Form'!$N$34="",0,COUNTIF(B772,"*"&amp;'Change Request Form'!$N$34&amp;"*"))</f>
        <v>0</v>
      </c>
    </row>
    <row r="773" spans="3:3">
      <c r="C773">
        <f>IF('Change Request Form'!$N$34="",0,COUNTIF(B773,"*"&amp;'Change Request Form'!$N$34&amp;"*"))</f>
        <v>0</v>
      </c>
    </row>
    <row r="774" spans="3:3">
      <c r="C774">
        <f>IF('Change Request Form'!$N$34="",0,COUNTIF(B774,"*"&amp;'Change Request Form'!$N$34&amp;"*"))</f>
        <v>0</v>
      </c>
    </row>
    <row r="775" spans="3:3">
      <c r="C775">
        <f>IF('Change Request Form'!$N$34="",0,COUNTIF(B775,"*"&amp;'Change Request Form'!$N$34&amp;"*"))</f>
        <v>0</v>
      </c>
    </row>
    <row r="776" spans="3:3">
      <c r="C776">
        <f>IF('Change Request Form'!$N$34="",0,COUNTIF(B776,"*"&amp;'Change Request Form'!$N$34&amp;"*"))</f>
        <v>0</v>
      </c>
    </row>
    <row r="777" spans="3:3">
      <c r="C777">
        <f>IF('Change Request Form'!$N$34="",0,COUNTIF(B777,"*"&amp;'Change Request Form'!$N$34&amp;"*"))</f>
        <v>0</v>
      </c>
    </row>
    <row r="778" spans="3:3">
      <c r="C778">
        <f>IF('Change Request Form'!$N$34="",0,COUNTIF(B778,"*"&amp;'Change Request Form'!$N$34&amp;"*"))</f>
        <v>0</v>
      </c>
    </row>
    <row r="779" spans="3:3">
      <c r="C779">
        <f>IF('Change Request Form'!$N$34="",0,COUNTIF(B779,"*"&amp;'Change Request Form'!$N$34&amp;"*"))</f>
        <v>0</v>
      </c>
    </row>
    <row r="780" spans="3:3">
      <c r="C780">
        <f>IF('Change Request Form'!$N$34="",0,COUNTIF(B780,"*"&amp;'Change Request Form'!$N$34&amp;"*"))</f>
        <v>0</v>
      </c>
    </row>
    <row r="781" spans="3:3">
      <c r="C781">
        <f>IF('Change Request Form'!$N$34="",0,COUNTIF(B781,"*"&amp;'Change Request Form'!$N$34&amp;"*"))</f>
        <v>0</v>
      </c>
    </row>
    <row r="782" spans="3:3">
      <c r="C782">
        <f>IF('Change Request Form'!$N$34="",0,COUNTIF(B782,"*"&amp;'Change Request Form'!$N$34&amp;"*"))</f>
        <v>0</v>
      </c>
    </row>
    <row r="783" spans="3:3">
      <c r="C783">
        <f>IF('Change Request Form'!$N$34="",0,COUNTIF(B783,"*"&amp;'Change Request Form'!$N$34&amp;"*"))</f>
        <v>0</v>
      </c>
    </row>
    <row r="784" spans="3:3">
      <c r="C784">
        <f>IF('Change Request Form'!$N$34="",0,COUNTIF(B784,"*"&amp;'Change Request Form'!$N$34&amp;"*"))</f>
        <v>0</v>
      </c>
    </row>
    <row r="785" spans="3:3">
      <c r="C785">
        <f>IF('Change Request Form'!$N$34="",0,COUNTIF(B785,"*"&amp;'Change Request Form'!$N$34&amp;"*"))</f>
        <v>0</v>
      </c>
    </row>
    <row r="786" spans="3:3">
      <c r="C786">
        <f>IF('Change Request Form'!$N$34="",0,COUNTIF(B786,"*"&amp;'Change Request Form'!$N$34&amp;"*"))</f>
        <v>0</v>
      </c>
    </row>
    <row r="787" spans="3:3">
      <c r="C787">
        <f>IF('Change Request Form'!$N$34="",0,COUNTIF(B787,"*"&amp;'Change Request Form'!$N$34&amp;"*"))</f>
        <v>0</v>
      </c>
    </row>
    <row r="788" spans="3:3">
      <c r="C788">
        <f>IF('Change Request Form'!$N$34="",0,COUNTIF(B788,"*"&amp;'Change Request Form'!$N$34&amp;"*"))</f>
        <v>0</v>
      </c>
    </row>
    <row r="789" spans="3:3">
      <c r="C789">
        <f>IF('Change Request Form'!$N$34="",0,COUNTIF(B789,"*"&amp;'Change Request Form'!$N$34&amp;"*"))</f>
        <v>0</v>
      </c>
    </row>
    <row r="790" spans="3:3">
      <c r="C790">
        <f>IF('Change Request Form'!$N$34="",0,COUNTIF(B790,"*"&amp;'Change Request Form'!$N$34&amp;"*"))</f>
        <v>0</v>
      </c>
    </row>
    <row r="791" spans="3:3">
      <c r="C791">
        <f>IF('Change Request Form'!$N$34="",0,COUNTIF(B791,"*"&amp;'Change Request Form'!$N$34&amp;"*"))</f>
        <v>0</v>
      </c>
    </row>
    <row r="792" spans="3:3">
      <c r="C792">
        <f>IF('Change Request Form'!$N$34="",0,COUNTIF(B792,"*"&amp;'Change Request Form'!$N$34&amp;"*"))</f>
        <v>0</v>
      </c>
    </row>
    <row r="793" spans="3:3">
      <c r="C793">
        <f>IF('Change Request Form'!$N$34="",0,COUNTIF(B793,"*"&amp;'Change Request Form'!$N$34&amp;"*"))</f>
        <v>0</v>
      </c>
    </row>
    <row r="794" spans="3:3">
      <c r="C794">
        <f>IF('Change Request Form'!$N$34="",0,COUNTIF(B794,"*"&amp;'Change Request Form'!$N$34&amp;"*"))</f>
        <v>0</v>
      </c>
    </row>
    <row r="795" spans="3:3">
      <c r="C795">
        <f>IF('Change Request Form'!$N$34="",0,COUNTIF(B795,"*"&amp;'Change Request Form'!$N$34&amp;"*"))</f>
        <v>0</v>
      </c>
    </row>
    <row r="796" spans="3:3">
      <c r="C796">
        <f>IF('Change Request Form'!$N$34="",0,COUNTIF(B796,"*"&amp;'Change Request Form'!$N$34&amp;"*"))</f>
        <v>0</v>
      </c>
    </row>
    <row r="797" spans="3:3">
      <c r="C797">
        <f>IF('Change Request Form'!$N$34="",0,COUNTIF(B797,"*"&amp;'Change Request Form'!$N$34&amp;"*"))</f>
        <v>0</v>
      </c>
    </row>
    <row r="798" spans="3:3">
      <c r="C798">
        <f>IF('Change Request Form'!$N$34="",0,COUNTIF(B798,"*"&amp;'Change Request Form'!$N$34&amp;"*"))</f>
        <v>0</v>
      </c>
    </row>
    <row r="799" spans="3:3">
      <c r="C799">
        <f>IF('Change Request Form'!$N$34="",0,COUNTIF(B799,"*"&amp;'Change Request Form'!$N$34&amp;"*"))</f>
        <v>0</v>
      </c>
    </row>
    <row r="800" spans="3:3">
      <c r="C800">
        <f>IF('Change Request Form'!$N$34="",0,COUNTIF(B800,"*"&amp;'Change Request Form'!$N$34&amp;"*"))</f>
        <v>0</v>
      </c>
    </row>
    <row r="801" spans="3:3">
      <c r="C801">
        <f>IF('Change Request Form'!$N$34="",0,COUNTIF(B801,"*"&amp;'Change Request Form'!$N$34&amp;"*"))</f>
        <v>0</v>
      </c>
    </row>
    <row r="802" spans="3:3">
      <c r="C802">
        <f>IF('Change Request Form'!$N$34="",0,COUNTIF(B802,"*"&amp;'Change Request Form'!$N$34&amp;"*"))</f>
        <v>0</v>
      </c>
    </row>
    <row r="803" spans="3:3">
      <c r="C803">
        <f>IF('Change Request Form'!$N$34="",0,COUNTIF(B803,"*"&amp;'Change Request Form'!$N$34&amp;"*"))</f>
        <v>0</v>
      </c>
    </row>
    <row r="804" spans="3:3">
      <c r="C804">
        <f>IF('Change Request Form'!$N$34="",0,COUNTIF(B804,"*"&amp;'Change Request Form'!$N$34&amp;"*"))</f>
        <v>0</v>
      </c>
    </row>
    <row r="805" spans="3:3">
      <c r="C805">
        <f>IF('Change Request Form'!$N$34="",0,COUNTIF(B805,"*"&amp;'Change Request Form'!$N$34&amp;"*"))</f>
        <v>0</v>
      </c>
    </row>
    <row r="806" spans="3:3">
      <c r="C806">
        <f>IF('Change Request Form'!$N$34="",0,COUNTIF(B806,"*"&amp;'Change Request Form'!$N$34&amp;"*"))</f>
        <v>0</v>
      </c>
    </row>
    <row r="807" spans="3:3">
      <c r="C807">
        <f>IF('Change Request Form'!$N$34="",0,COUNTIF(B807,"*"&amp;'Change Request Form'!$N$34&amp;"*"))</f>
        <v>0</v>
      </c>
    </row>
    <row r="808" spans="3:3">
      <c r="C808">
        <f>IF('Change Request Form'!$N$34="",0,COUNTIF(B808,"*"&amp;'Change Request Form'!$N$34&amp;"*"))</f>
        <v>0</v>
      </c>
    </row>
    <row r="809" spans="3:3">
      <c r="C809">
        <f>IF('Change Request Form'!$N$34="",0,COUNTIF(B809,"*"&amp;'Change Request Form'!$N$34&amp;"*"))</f>
        <v>0</v>
      </c>
    </row>
    <row r="810" spans="3:3">
      <c r="C810">
        <f>IF('Change Request Form'!$N$34="",0,COUNTIF(B810,"*"&amp;'Change Request Form'!$N$34&amp;"*"))</f>
        <v>0</v>
      </c>
    </row>
    <row r="811" spans="3:3">
      <c r="C811">
        <f>IF('Change Request Form'!$N$34="",0,COUNTIF(B811,"*"&amp;'Change Request Form'!$N$34&amp;"*"))</f>
        <v>0</v>
      </c>
    </row>
    <row r="812" spans="3:3">
      <c r="C812">
        <f>IF('Change Request Form'!$N$34="",0,COUNTIF(B812,"*"&amp;'Change Request Form'!$N$34&amp;"*"))</f>
        <v>0</v>
      </c>
    </row>
    <row r="813" spans="3:3">
      <c r="C813">
        <f>IF('Change Request Form'!$N$34="",0,COUNTIF(B813,"*"&amp;'Change Request Form'!$N$34&amp;"*"))</f>
        <v>0</v>
      </c>
    </row>
    <row r="814" spans="3:3">
      <c r="C814">
        <f>IF('Change Request Form'!$N$34="",0,COUNTIF(B814,"*"&amp;'Change Request Form'!$N$34&amp;"*"))</f>
        <v>0</v>
      </c>
    </row>
    <row r="815" spans="3:3">
      <c r="C815">
        <f>IF('Change Request Form'!$N$34="",0,COUNTIF(B815,"*"&amp;'Change Request Form'!$N$34&amp;"*"))</f>
        <v>0</v>
      </c>
    </row>
    <row r="816" spans="3:3">
      <c r="C816">
        <f>IF('Change Request Form'!$N$34="",0,COUNTIF(B816,"*"&amp;'Change Request Form'!$N$34&amp;"*"))</f>
        <v>0</v>
      </c>
    </row>
    <row r="817" spans="3:3">
      <c r="C817">
        <f>IF('Change Request Form'!$N$34="",0,COUNTIF(B817,"*"&amp;'Change Request Form'!$N$34&amp;"*"))</f>
        <v>0</v>
      </c>
    </row>
    <row r="818" spans="3:3">
      <c r="C818">
        <f>IF('Change Request Form'!$N$34="",0,COUNTIF(B818,"*"&amp;'Change Request Form'!$N$34&amp;"*"))</f>
        <v>0</v>
      </c>
    </row>
    <row r="819" spans="3:3">
      <c r="C819">
        <f>IF('Change Request Form'!$N$34="",0,COUNTIF(B819,"*"&amp;'Change Request Form'!$N$34&amp;"*"))</f>
        <v>0</v>
      </c>
    </row>
    <row r="820" spans="3:3">
      <c r="C820">
        <f>IF('Change Request Form'!$N$34="",0,COUNTIF(B820,"*"&amp;'Change Request Form'!$N$34&amp;"*"))</f>
        <v>0</v>
      </c>
    </row>
    <row r="821" spans="3:3">
      <c r="C821">
        <f>IF('Change Request Form'!$N$34="",0,COUNTIF(B821,"*"&amp;'Change Request Form'!$N$34&amp;"*"))</f>
        <v>0</v>
      </c>
    </row>
    <row r="822" spans="3:3">
      <c r="C822">
        <f>IF('Change Request Form'!$N$34="",0,COUNTIF(B822,"*"&amp;'Change Request Form'!$N$34&amp;"*"))</f>
        <v>0</v>
      </c>
    </row>
    <row r="823" spans="3:3">
      <c r="C823">
        <f>IF('Change Request Form'!$N$34="",0,COUNTIF(B823,"*"&amp;'Change Request Form'!$N$34&amp;"*"))</f>
        <v>0</v>
      </c>
    </row>
    <row r="824" spans="3:3">
      <c r="C824">
        <f>IF('Change Request Form'!$N$34="",0,COUNTIF(B824,"*"&amp;'Change Request Form'!$N$34&amp;"*"))</f>
        <v>0</v>
      </c>
    </row>
    <row r="825" spans="3:3">
      <c r="C825">
        <f>IF('Change Request Form'!$N$34="",0,COUNTIF(B825,"*"&amp;'Change Request Form'!$N$34&amp;"*"))</f>
        <v>0</v>
      </c>
    </row>
    <row r="826" spans="3:3">
      <c r="C826">
        <f>IF('Change Request Form'!$N$34="",0,COUNTIF(B826,"*"&amp;'Change Request Form'!$N$34&amp;"*"))</f>
        <v>0</v>
      </c>
    </row>
    <row r="827" spans="3:3">
      <c r="C827">
        <f>IF('Change Request Form'!$N$34="",0,COUNTIF(B827,"*"&amp;'Change Request Form'!$N$34&amp;"*"))</f>
        <v>0</v>
      </c>
    </row>
    <row r="828" spans="3:3">
      <c r="C828">
        <f>IF('Change Request Form'!$N$34="",0,COUNTIF(B828,"*"&amp;'Change Request Form'!$N$34&amp;"*"))</f>
        <v>0</v>
      </c>
    </row>
    <row r="829" spans="3:3">
      <c r="C829">
        <f>IF('Change Request Form'!$N$34="",0,COUNTIF(B829,"*"&amp;'Change Request Form'!$N$34&amp;"*"))</f>
        <v>0</v>
      </c>
    </row>
    <row r="830" spans="3:3">
      <c r="C830">
        <f>IF('Change Request Form'!$N$34="",0,COUNTIF(B830,"*"&amp;'Change Request Form'!$N$34&amp;"*"))</f>
        <v>0</v>
      </c>
    </row>
    <row r="831" spans="3:3">
      <c r="C831">
        <f>IF('Change Request Form'!$N$34="",0,COUNTIF(B831,"*"&amp;'Change Request Form'!$N$34&amp;"*"))</f>
        <v>0</v>
      </c>
    </row>
    <row r="832" spans="3:3">
      <c r="C832">
        <f>IF('Change Request Form'!$N$34="",0,COUNTIF(B832,"*"&amp;'Change Request Form'!$N$34&amp;"*"))</f>
        <v>0</v>
      </c>
    </row>
    <row r="833" spans="3:3">
      <c r="C833">
        <f>IF('Change Request Form'!$N$34="",0,COUNTIF(B833,"*"&amp;'Change Request Form'!$N$34&amp;"*"))</f>
        <v>0</v>
      </c>
    </row>
    <row r="834" spans="3:3">
      <c r="C834">
        <f>IF('Change Request Form'!$N$34="",0,COUNTIF(B834,"*"&amp;'Change Request Form'!$N$34&amp;"*"))</f>
        <v>0</v>
      </c>
    </row>
    <row r="835" spans="3:3">
      <c r="C835">
        <f>IF('Change Request Form'!$N$34="",0,COUNTIF(B835,"*"&amp;'Change Request Form'!$N$34&amp;"*"))</f>
        <v>0</v>
      </c>
    </row>
    <row r="836" spans="3:3">
      <c r="C836">
        <f>IF('Change Request Form'!$N$34="",0,COUNTIF(B836,"*"&amp;'Change Request Form'!$N$34&amp;"*"))</f>
        <v>0</v>
      </c>
    </row>
    <row r="837" spans="3:3">
      <c r="C837">
        <f>IF('Change Request Form'!$N$34="",0,COUNTIF(B837,"*"&amp;'Change Request Form'!$N$34&amp;"*"))</f>
        <v>0</v>
      </c>
    </row>
    <row r="838" spans="3:3">
      <c r="C838">
        <f>IF('Change Request Form'!$N$34="",0,COUNTIF(B838,"*"&amp;'Change Request Form'!$N$34&amp;"*"))</f>
        <v>0</v>
      </c>
    </row>
    <row r="839" spans="3:3">
      <c r="C839">
        <f>IF('Change Request Form'!$N$34="",0,COUNTIF(B839,"*"&amp;'Change Request Form'!$N$34&amp;"*"))</f>
        <v>0</v>
      </c>
    </row>
    <row r="840" spans="3:3">
      <c r="C840">
        <f>IF('Change Request Form'!$N$34="",0,COUNTIF(B840,"*"&amp;'Change Request Form'!$N$34&amp;"*"))</f>
        <v>0</v>
      </c>
    </row>
    <row r="841" spans="3:3">
      <c r="C841">
        <f>IF('Change Request Form'!$N$34="",0,COUNTIF(B841,"*"&amp;'Change Request Form'!$N$34&amp;"*"))</f>
        <v>0</v>
      </c>
    </row>
    <row r="842" spans="3:3">
      <c r="C842">
        <f>IF('Change Request Form'!$N$34="",0,COUNTIF(B842,"*"&amp;'Change Request Form'!$N$34&amp;"*"))</f>
        <v>0</v>
      </c>
    </row>
    <row r="843" spans="3:3">
      <c r="C843">
        <f>IF('Change Request Form'!$N$34="",0,COUNTIF(B843,"*"&amp;'Change Request Form'!$N$34&amp;"*"))</f>
        <v>0</v>
      </c>
    </row>
    <row r="844" spans="3:3">
      <c r="C844">
        <f>IF('Change Request Form'!$N$34="",0,COUNTIF(B844,"*"&amp;'Change Request Form'!$N$34&amp;"*"))</f>
        <v>0</v>
      </c>
    </row>
    <row r="845" spans="3:3">
      <c r="C845">
        <f>IF('Change Request Form'!$N$34="",0,COUNTIF(B845,"*"&amp;'Change Request Form'!$N$34&amp;"*"))</f>
        <v>0</v>
      </c>
    </row>
    <row r="846" spans="3:3">
      <c r="C846">
        <f>IF('Change Request Form'!$N$34="",0,COUNTIF(B846,"*"&amp;'Change Request Form'!$N$34&amp;"*"))</f>
        <v>0</v>
      </c>
    </row>
    <row r="847" spans="3:3">
      <c r="C847">
        <f>IF('Change Request Form'!$N$34="",0,COUNTIF(B847,"*"&amp;'Change Request Form'!$N$34&amp;"*"))</f>
        <v>0</v>
      </c>
    </row>
    <row r="848" spans="3:3">
      <c r="C848">
        <f>IF('Change Request Form'!$N$34="",0,COUNTIF(B848,"*"&amp;'Change Request Form'!$N$34&amp;"*"))</f>
        <v>0</v>
      </c>
    </row>
    <row r="849" spans="3:3">
      <c r="C849">
        <f>IF('Change Request Form'!$N$34="",0,COUNTIF(B849,"*"&amp;'Change Request Form'!$N$34&amp;"*"))</f>
        <v>0</v>
      </c>
    </row>
    <row r="850" spans="3:3">
      <c r="C850">
        <f>IF('Change Request Form'!$N$34="",0,COUNTIF(B850,"*"&amp;'Change Request Form'!$N$34&amp;"*"))</f>
        <v>0</v>
      </c>
    </row>
    <row r="851" spans="3:3">
      <c r="C851">
        <f>IF('Change Request Form'!$N$34="",0,COUNTIF(B851,"*"&amp;'Change Request Form'!$N$34&amp;"*"))</f>
        <v>0</v>
      </c>
    </row>
    <row r="852" spans="3:3">
      <c r="C852">
        <f>IF('Change Request Form'!$N$34="",0,COUNTIF(B852,"*"&amp;'Change Request Form'!$N$34&amp;"*"))</f>
        <v>0</v>
      </c>
    </row>
    <row r="853" spans="3:3">
      <c r="C853">
        <f>IF('Change Request Form'!$N$34="",0,COUNTIF(B853,"*"&amp;'Change Request Form'!$N$34&amp;"*"))</f>
        <v>0</v>
      </c>
    </row>
    <row r="854" spans="3:3">
      <c r="C854">
        <f>IF('Change Request Form'!$N$34="",0,COUNTIF(B854,"*"&amp;'Change Request Form'!$N$34&amp;"*"))</f>
        <v>0</v>
      </c>
    </row>
    <row r="855" spans="3:3">
      <c r="C855">
        <f>IF('Change Request Form'!$N$34="",0,COUNTIF(B855,"*"&amp;'Change Request Form'!$N$34&amp;"*"))</f>
        <v>0</v>
      </c>
    </row>
    <row r="856" spans="3:3">
      <c r="C856">
        <f>IF('Change Request Form'!$N$34="",0,COUNTIF(B856,"*"&amp;'Change Request Form'!$N$34&amp;"*"))</f>
        <v>0</v>
      </c>
    </row>
    <row r="857" spans="3:3">
      <c r="C857">
        <f>IF('Change Request Form'!$N$34="",0,COUNTIF(B857,"*"&amp;'Change Request Form'!$N$34&amp;"*"))</f>
        <v>0</v>
      </c>
    </row>
    <row r="858" spans="3:3">
      <c r="C858">
        <f>IF('Change Request Form'!$N$34="",0,COUNTIF(B858,"*"&amp;'Change Request Form'!$N$34&amp;"*"))</f>
        <v>0</v>
      </c>
    </row>
    <row r="859" spans="3:3">
      <c r="C859">
        <f>IF('Change Request Form'!$N$34="",0,COUNTIF(B859,"*"&amp;'Change Request Form'!$N$34&amp;"*"))</f>
        <v>0</v>
      </c>
    </row>
    <row r="860" spans="3:3">
      <c r="C860">
        <f>IF('Change Request Form'!$N$34="",0,COUNTIF(B860,"*"&amp;'Change Request Form'!$N$34&amp;"*"))</f>
        <v>0</v>
      </c>
    </row>
    <row r="861" spans="3:3">
      <c r="C861">
        <f>IF('Change Request Form'!$N$34="",0,COUNTIF(B861,"*"&amp;'Change Request Form'!$N$34&amp;"*"))</f>
        <v>0</v>
      </c>
    </row>
    <row r="862" spans="3:3">
      <c r="C862">
        <f>IF('Change Request Form'!$N$34="",0,COUNTIF(B862,"*"&amp;'Change Request Form'!$N$34&amp;"*"))</f>
        <v>0</v>
      </c>
    </row>
    <row r="863" spans="3:3">
      <c r="C863">
        <f>IF('Change Request Form'!$N$34="",0,COUNTIF(B863,"*"&amp;'Change Request Form'!$N$34&amp;"*"))</f>
        <v>0</v>
      </c>
    </row>
    <row r="864" spans="3:3">
      <c r="C864">
        <f>IF('Change Request Form'!$N$34="",0,COUNTIF(B864,"*"&amp;'Change Request Form'!$N$34&amp;"*"))</f>
        <v>0</v>
      </c>
    </row>
    <row r="865" spans="3:3">
      <c r="C865">
        <f>IF('Change Request Form'!$N$34="",0,COUNTIF(B865,"*"&amp;'Change Request Form'!$N$34&amp;"*"))</f>
        <v>0</v>
      </c>
    </row>
    <row r="866" spans="3:3">
      <c r="C866">
        <f>IF('Change Request Form'!$N$34="",0,COUNTIF(B866,"*"&amp;'Change Request Form'!$N$34&amp;"*"))</f>
        <v>0</v>
      </c>
    </row>
    <row r="867" spans="3:3">
      <c r="C867">
        <f>IF('Change Request Form'!$N$34="",0,COUNTIF(B867,"*"&amp;'Change Request Form'!$N$34&amp;"*"))</f>
        <v>0</v>
      </c>
    </row>
    <row r="868" spans="3:3">
      <c r="C868">
        <f>IF('Change Request Form'!$N$34="",0,COUNTIF(B868,"*"&amp;'Change Request Form'!$N$34&amp;"*"))</f>
        <v>0</v>
      </c>
    </row>
    <row r="869" spans="3:3">
      <c r="C869">
        <f>IF('Change Request Form'!$N$34="",0,COUNTIF(B869,"*"&amp;'Change Request Form'!$N$34&amp;"*"))</f>
        <v>0</v>
      </c>
    </row>
  </sheetData>
  <autoFilter ref="A1:C869" xr:uid="{0F1BA8B0-F76F-4D0C-9BE6-207C21DCD922}">
    <sortState xmlns:xlrd2="http://schemas.microsoft.com/office/spreadsheetml/2017/richdata2" ref="A2:C869">
      <sortCondition ref="B1:B869"/>
    </sortState>
  </autoFilter>
  <phoneticPr fontId="29"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976299DF5228E43A815C5F7DB1024D9" ma:contentTypeVersion="8" ma:contentTypeDescription="Create a new document." ma:contentTypeScope="" ma:versionID="15ac0912e3a7d5efc20cc9ea178a2f48">
  <xsd:schema xmlns:xsd="http://www.w3.org/2001/XMLSchema" xmlns:xs="http://www.w3.org/2001/XMLSchema" xmlns:p="http://schemas.microsoft.com/office/2006/metadata/properties" xmlns:ns2="ed845449-84c5-4df8-b7e3-05679f7dbc04" targetNamespace="http://schemas.microsoft.com/office/2006/metadata/properties" ma:root="true" ma:fieldsID="1f037aa6c4c1bd9255786b48eb0697b2" ns2:_="">
    <xsd:import namespace="ed845449-84c5-4df8-b7e3-05679f7dbc0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d845449-84c5-4df8-b7e3-05679f7dbc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BillingMetadata" ma:index="15"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8296E25-0009-4041-B51E-DBFDDE8BC280}">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581DAF5E-4D63-4619-AC82-863F5B521571}">
  <ds:schemaRefs>
    <ds:schemaRef ds:uri="http://schemas.microsoft.com/sharepoint/v3/contenttype/forms"/>
  </ds:schemaRefs>
</ds:datastoreItem>
</file>

<file path=customXml/itemProps3.xml><?xml version="1.0" encoding="utf-8"?>
<ds:datastoreItem xmlns:ds="http://schemas.openxmlformats.org/officeDocument/2006/customXml" ds:itemID="{AB547A6B-3395-4FB4-865E-89E7B4734F8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d845449-84c5-4df8-b7e3-05679f7dbc0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Change Request Form</vt:lpstr>
      <vt:lpstr>Product List</vt:lpstr>
      <vt:lpstr>'Change Request Form'!Print_Area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lyn1</dc:creator>
  <cp:keywords/>
  <dc:description/>
  <cp:lastModifiedBy>Ashley Micallef</cp:lastModifiedBy>
  <cp:revision/>
  <dcterms:created xsi:type="dcterms:W3CDTF">2010-07-14T06:26:53Z</dcterms:created>
  <dcterms:modified xsi:type="dcterms:W3CDTF">2025-12-10T23:12:16Z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0x010100D976299DF5228E43A815C5F7DB1024D9</vt:lpwstr>
  </property>
</Properties>
</file>