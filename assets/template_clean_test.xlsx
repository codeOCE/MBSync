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08" yWindow="-108" windowWidth="23256" windowHeight="13896" tabRatio="600" firstSheet="0" activeTab="0" autoFilterDateGrouping="1"/>
  </bookViews>
  <sheets>
    <sheet name="Change Request Form" sheetId="1" state="visible" r:id="rId1"/>
    <sheet name="Product List" sheetId="2" state="visible" r:id="rId2"/>
  </sheets>
  <definedNames>
    <definedName name="Dynamiclist">'Change Request Form'!#REF!:INDEX('Change Request Form'!#REF!,COUNTA('Change Request Form'!#REF!))</definedName>
    <definedName name="DynamicListHelper">'Change Request Form'!#REF!:INDEX('Change Request Form'!#REF!,COUNTA('Change Request Form'!#REF!))</definedName>
    <definedName name="FilteredProductNames">'Change Request Form'!#REF!:'Change Request Form'!#REF!</definedName>
    <definedName name="Filterproductnames">'Change Request Form'!#REF!:'Change Request Form'!#REF!</definedName>
    <definedName name="ProductNames">#REF!</definedName>
    <definedName name="_xlnm.Print_Area" localSheetId="0">'Change Request Form'!$B$1:$H$101</definedName>
    <definedName name="_xlnm._FilterDatabase" localSheetId="1" hidden="1">'Product List'!$A$1:$C$869</definedName>
  </definedNames>
  <calcPr calcId="191028" fullCalcOnLoad="1"/>
</workbook>
</file>

<file path=xl/styles.xml><?xml version="1.0" encoding="utf-8"?>
<styleSheet xmlns="http://schemas.openxmlformats.org/spreadsheetml/2006/main">
  <numFmts count="0"/>
  <fonts count="40">
    <font>
      <name val="Calibri"/>
      <family val="2"/>
      <color theme="1"/>
      <sz val="11"/>
      <scheme val="minor"/>
    </font>
    <font>
      <name val="Arial"/>
      <family val="2"/>
      <b val="1"/>
      <color indexed="8"/>
      <sz val="12"/>
    </font>
    <font>
      <name val="Arial"/>
      <family val="2"/>
      <b val="1"/>
      <color indexed="8"/>
      <sz val="10"/>
    </font>
    <font>
      <name val="Arial"/>
      <family val="2"/>
      <b val="1"/>
      <color indexed="8"/>
      <sz val="11"/>
    </font>
    <font>
      <name val="Calibri"/>
      <family val="2"/>
      <color indexed="8"/>
      <sz val="16"/>
    </font>
    <font>
      <name val="Arial"/>
      <family val="2"/>
      <b val="1"/>
      <sz val="14"/>
    </font>
    <font>
      <name val="Arial"/>
      <family val="2"/>
      <b val="1"/>
      <sz val="10"/>
    </font>
    <font>
      <name val="Arial"/>
      <family val="2"/>
      <color indexed="8"/>
      <sz val="12"/>
    </font>
    <font>
      <name val="Arial"/>
      <family val="2"/>
      <sz val="12"/>
    </font>
    <font>
      <name val="Arial"/>
      <family val="2"/>
      <sz val="11"/>
    </font>
    <font>
      <name val="Arial"/>
      <family val="2"/>
      <b val="1"/>
      <sz val="11"/>
    </font>
    <font>
      <name val="Arial"/>
      <family val="2"/>
      <color indexed="8"/>
      <sz val="11"/>
    </font>
    <font>
      <name val="Arial"/>
      <family val="2"/>
      <b val="1"/>
      <color indexed="9"/>
      <sz val="10"/>
    </font>
    <font>
      <name val="Arial"/>
      <family val="2"/>
      <color indexed="9"/>
      <sz val="11"/>
    </font>
    <font>
      <name val="Arial"/>
      <family val="2"/>
      <b val="1"/>
      <sz val="16"/>
      <u val="single"/>
    </font>
    <font>
      <name val="Arial"/>
      <family val="2"/>
      <b val="1"/>
      <sz val="16"/>
    </font>
    <font>
      <name val="Arial"/>
      <family val="2"/>
      <sz val="8"/>
    </font>
    <font>
      <name val="Arial"/>
      <family val="2"/>
      <i val="1"/>
      <color indexed="8"/>
      <sz val="12"/>
    </font>
    <font>
      <name val="Calibri"/>
      <family val="2"/>
      <b val="1"/>
      <color theme="1"/>
      <sz val="11"/>
      <scheme val="minor"/>
    </font>
    <font>
      <name val="Arial"/>
      <family val="2"/>
      <color theme="1"/>
      <sz val="11"/>
    </font>
    <font>
      <name val="Arial"/>
      <family val="2"/>
      <color theme="0"/>
      <sz val="11"/>
    </font>
    <font>
      <name val="Arial"/>
      <family val="2"/>
      <color rgb="FF996633"/>
      <sz val="11"/>
    </font>
    <font>
      <name val="Arial"/>
      <family val="2"/>
      <color theme="1"/>
      <sz val="8"/>
    </font>
    <font>
      <name val="Arial"/>
      <family val="2"/>
      <color theme="1"/>
      <sz val="12"/>
    </font>
    <font>
      <name val="Arial"/>
      <family val="2"/>
      <b val="1"/>
      <color theme="0"/>
      <sz val="12"/>
    </font>
    <font>
      <name val="Arial"/>
      <family val="2"/>
      <b val="1"/>
      <color theme="0"/>
      <sz val="16"/>
    </font>
    <font>
      <name val="Arial"/>
      <family val="2"/>
      <b val="1"/>
      <color theme="1"/>
      <sz val="11"/>
    </font>
    <font>
      <name val="Arial"/>
      <family val="2"/>
      <b val="1"/>
      <color theme="1"/>
      <sz val="12"/>
    </font>
    <font>
      <name val="Arial Black"/>
      <family val="2"/>
      <color theme="4"/>
      <sz val="16"/>
      <u val="single"/>
    </font>
    <font>
      <name val="Calibri"/>
      <family val="2"/>
      <sz val="8"/>
      <scheme val="minor"/>
    </font>
    <font>
      <name val="Speedee"/>
      <family val="2"/>
      <color theme="1"/>
      <sz val="18"/>
    </font>
    <font>
      <name val="Speedee"/>
      <family val="2"/>
      <color theme="1"/>
      <sz val="10"/>
    </font>
    <font>
      <name val="Speedee"/>
      <family val="2"/>
      <color theme="1"/>
      <sz val="30"/>
    </font>
    <font>
      <name val="Arial"/>
      <family val="2"/>
      <color rgb="FFFF0000"/>
      <sz val="11"/>
    </font>
    <font>
      <name val="Speedee"/>
      <family val="2"/>
      <color theme="0"/>
      <sz val="18"/>
    </font>
    <font>
      <name val="Arial"/>
      <family val="2"/>
      <b val="1"/>
      <sz val="12"/>
    </font>
    <font>
      <name val="Aptos Narrow"/>
      <family val="2"/>
      <b val="1"/>
      <color theme="1"/>
      <sz val="11"/>
    </font>
    <font>
      <name val="Segoe UI Historic"/>
      <family val="2"/>
      <color rgb="FF050505"/>
      <sz val="11"/>
    </font>
    <font>
      <name val="Inherit"/>
      <b val="1"/>
      <color rgb="FF050505"/>
      <sz val="11"/>
    </font>
    <font>
      <name val="Segoe UI Historic"/>
      <family val="2"/>
      <b val="1"/>
      <color rgb="FF050505"/>
      <sz val="11"/>
    </font>
  </fonts>
  <fills count="18">
    <fill>
      <patternFill/>
    </fill>
    <fill>
      <patternFill patternType="gray125"/>
    </fill>
    <fill>
      <patternFill patternType="solid">
        <fgColor theme="5" tint="0.7999816888943144"/>
        <bgColor indexed="64"/>
      </patternFill>
    </fill>
    <fill>
      <patternFill patternType="solid">
        <fgColor theme="9" tint="-0.249977111117893"/>
        <bgColor indexed="64"/>
      </patternFill>
    </fill>
    <fill>
      <patternFill patternType="solid">
        <fgColor theme="9" tint="0.5999938962981048"/>
        <bgColor indexed="64"/>
      </patternFill>
    </fill>
    <fill>
      <patternFill patternType="solid">
        <fgColor theme="0" tint="-0.0499893185216834"/>
        <bgColor indexed="64"/>
      </patternFill>
    </fill>
    <fill>
      <patternFill patternType="solid">
        <fgColor theme="0"/>
        <bgColor indexed="64"/>
      </patternFill>
    </fill>
    <fill>
      <patternFill patternType="solid">
        <fgColor theme="1"/>
        <bgColor indexed="64"/>
      </patternFill>
    </fill>
    <fill>
      <patternFill patternType="solid">
        <fgColor rgb="FFFF0000"/>
        <bgColor indexed="64"/>
      </patternFill>
    </fill>
    <fill>
      <patternFill patternType="solid">
        <fgColor theme="3" tint="0.7999816888943144"/>
        <bgColor indexed="64"/>
      </patternFill>
    </fill>
    <fill>
      <patternFill patternType="solid">
        <fgColor theme="4"/>
        <bgColor indexed="64"/>
      </patternFill>
    </fill>
    <fill>
      <patternFill patternType="solid">
        <fgColor theme="9"/>
        <bgColor indexed="64"/>
      </patternFill>
    </fill>
    <fill>
      <patternFill patternType="solid">
        <fgColor rgb="FFFFFF00"/>
        <bgColor indexed="64"/>
      </patternFill>
    </fill>
    <fill>
      <patternFill patternType="solid">
        <fgColor rgb="FF00B050"/>
        <bgColor indexed="64"/>
      </patternFill>
    </fill>
    <fill>
      <patternFill patternType="solid">
        <fgColor theme="6" tint="0.5999938962981048"/>
        <bgColor indexed="64"/>
      </patternFill>
    </fill>
    <fill>
      <patternFill patternType="solid">
        <fgColor theme="4" tint="0.7999816888943144"/>
        <bgColor indexed="64"/>
      </patternFill>
    </fill>
    <fill>
      <patternFill patternType="solid">
        <fgColor rgb="FFFFC000"/>
        <bgColor indexed="64"/>
      </patternFill>
    </fill>
    <fill>
      <patternFill patternType="solid">
        <fgColor theme="3" tint="0.5999938962981048"/>
        <bgColor indexed="64"/>
      </patternFill>
    </fill>
  </fills>
  <borders count="4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medium">
        <color indexed="64"/>
      </top>
      <bottom/>
      <diagonal/>
    </border>
    <border>
      <left style="medium">
        <color indexed="64"/>
      </left>
      <right/>
      <top/>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style="medium">
        <color indexed="64"/>
      </left>
      <right/>
      <top style="thin">
        <color indexed="64"/>
      </top>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right style="thin">
        <color indexed="64"/>
      </right>
      <top style="medium">
        <color indexed="64"/>
      </top>
      <bottom style="thin">
        <color indexed="64"/>
      </bottom>
      <diagonal/>
    </border>
    <border>
      <left style="medium">
        <color indexed="64"/>
      </left>
      <right style="thin">
        <color indexed="64"/>
      </right>
      <top style="thin">
        <color indexed="64"/>
      </top>
      <bottom/>
      <diagonal/>
    </border>
    <border>
      <left/>
      <right style="medium">
        <color indexed="64"/>
      </right>
      <top style="thin">
        <color indexed="64"/>
      </top>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bottom/>
      <diagonal/>
    </border>
    <border>
      <left/>
      <right style="medium">
        <color indexed="64"/>
      </right>
      <top/>
      <bottom style="thin">
        <color theme="4" tint="0.3999755851924192"/>
      </bottom>
      <diagonal/>
    </border>
    <border>
      <left style="medium">
        <color indexed="64"/>
      </left>
      <right/>
      <top/>
      <bottom style="thin">
        <color theme="4" tint="0.3999755851924192"/>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s>
  <cellStyleXfs count="1">
    <xf numFmtId="0" fontId="0" fillId="0" borderId="0"/>
  </cellStyleXfs>
  <cellXfs count="201">
    <xf numFmtId="0" fontId="0" fillId="0" borderId="0" pivotButton="0" quotePrefix="0" xfId="0"/>
    <xf numFmtId="0" fontId="1" fillId="0" borderId="1" applyAlignment="1" pivotButton="0" quotePrefix="0" xfId="0">
      <alignment wrapText="1"/>
    </xf>
    <xf numFmtId="0" fontId="19" fillId="0" borderId="0" pivotButton="0" quotePrefix="0" xfId="0"/>
    <xf numFmtId="0" fontId="11" fillId="2" borderId="1" applyAlignment="1" pivotButton="0" quotePrefix="0" xfId="0">
      <alignment horizontal="center" vertical="center" wrapText="1"/>
    </xf>
    <xf numFmtId="0" fontId="19" fillId="4" borderId="1" pivotButton="0" quotePrefix="0" xfId="0"/>
    <xf numFmtId="0" fontId="14" fillId="6" borderId="5" applyAlignment="1" pivotButton="0" quotePrefix="0" xfId="0">
      <alignment horizontal="center" vertical="center" wrapText="1"/>
    </xf>
    <xf numFmtId="0" fontId="19" fillId="8" borderId="8" pivotButton="0" quotePrefix="0" xfId="0"/>
    <xf numFmtId="0" fontId="19" fillId="8" borderId="9" pivotButton="0" quotePrefix="0" xfId="0"/>
    <xf numFmtId="0" fontId="24" fillId="8" borderId="1" applyAlignment="1" pivotButton="0" quotePrefix="0" xfId="0">
      <alignment horizontal="center" wrapText="1"/>
    </xf>
    <xf numFmtId="0" fontId="1" fillId="5" borderId="7" applyAlignment="1" pivotButton="0" quotePrefix="0" xfId="0">
      <alignment horizontal="center" wrapText="1"/>
    </xf>
    <xf numFmtId="0" fontId="11" fillId="5" borderId="7" applyAlignment="1" pivotButton="0" quotePrefix="0" xfId="0">
      <alignment horizontal="left" vertical="center" wrapText="1"/>
    </xf>
    <xf numFmtId="0" fontId="11" fillId="9" borderId="1" applyAlignment="1" pivotButton="0" quotePrefix="0" xfId="0">
      <alignment horizontal="left" vertical="center" wrapText="1"/>
    </xf>
    <xf numFmtId="0" fontId="11" fillId="9" borderId="1" applyAlignment="1" pivotButton="0" quotePrefix="0" xfId="0">
      <alignment horizontal="center" vertical="center" wrapText="1"/>
    </xf>
    <xf numFmtId="0" fontId="19" fillId="11" borderId="1" pivotButton="0" quotePrefix="0" xfId="0"/>
    <xf numFmtId="0" fontId="11" fillId="5" borderId="3" applyAlignment="1" pivotButton="0" quotePrefix="0" xfId="0">
      <alignment horizontal="left" vertical="center" wrapText="1"/>
    </xf>
    <xf numFmtId="0" fontId="33" fillId="0" borderId="0" pivotButton="0" quotePrefix="0" xfId="0"/>
    <xf numFmtId="0" fontId="19" fillId="0" borderId="5" pivotButton="0" quotePrefix="0" xfId="0"/>
    <xf numFmtId="0" fontId="19" fillId="0" borderId="20" pivotButton="0" quotePrefix="0" xfId="0"/>
    <xf numFmtId="0" fontId="33" fillId="0" borderId="20" pivotButton="0" quotePrefix="0" xfId="0"/>
    <xf numFmtId="0" fontId="19" fillId="0" borderId="8" pivotButton="0" quotePrefix="0" xfId="0"/>
    <xf numFmtId="0" fontId="19" fillId="0" borderId="9" pivotButton="0" quotePrefix="0" xfId="0"/>
    <xf numFmtId="0" fontId="19" fillId="0" borderId="21" pivotButton="0" quotePrefix="0" xfId="0"/>
    <xf numFmtId="0" fontId="11" fillId="9" borderId="23" applyAlignment="1" pivotButton="0" quotePrefix="0" xfId="0">
      <alignment horizontal="left" vertical="center" wrapText="1"/>
    </xf>
    <xf numFmtId="0" fontId="11" fillId="9" borderId="23" applyAlignment="1" pivotButton="0" quotePrefix="0" xfId="0">
      <alignment horizontal="center" vertical="center" wrapText="1"/>
    </xf>
    <xf numFmtId="0" fontId="19" fillId="4" borderId="23" pivotButton="0" quotePrefix="0" xfId="0"/>
    <xf numFmtId="0" fontId="19" fillId="4" borderId="24" pivotButton="0" quotePrefix="0" xfId="0"/>
    <xf numFmtId="0" fontId="19" fillId="4" borderId="25" pivotButton="0" quotePrefix="0" xfId="0"/>
    <xf numFmtId="0" fontId="11" fillId="14" borderId="23" applyAlignment="1" pivotButton="0" quotePrefix="0" xfId="0">
      <alignment horizontal="center" vertical="center" wrapText="1"/>
    </xf>
    <xf numFmtId="0" fontId="11" fillId="14" borderId="1" applyAlignment="1" pivotButton="0" quotePrefix="0" xfId="0">
      <alignment horizontal="center" vertical="center" wrapText="1"/>
    </xf>
    <xf numFmtId="0" fontId="11" fillId="9" borderId="22" applyAlignment="1" pivotButton="0" quotePrefix="0" xfId="0">
      <alignment horizontal="left" vertical="center" wrapText="1"/>
    </xf>
    <xf numFmtId="0" fontId="11" fillId="14" borderId="22" applyAlignment="1" pivotButton="0" quotePrefix="0" xfId="0">
      <alignment horizontal="center" vertical="center" wrapText="1"/>
    </xf>
    <xf numFmtId="0" fontId="11" fillId="9" borderId="22" applyAlignment="1" pivotButton="0" quotePrefix="0" xfId="0">
      <alignment horizontal="center" vertical="center" wrapText="1"/>
    </xf>
    <xf numFmtId="0" fontId="19" fillId="4" borderId="22" pivotButton="0" quotePrefix="0" xfId="0"/>
    <xf numFmtId="0" fontId="19" fillId="4" borderId="26" pivotButton="0" quotePrefix="0" xfId="0"/>
    <xf numFmtId="0" fontId="24" fillId="10" borderId="22" applyAlignment="1" pivotButton="0" quotePrefix="0" xfId="0">
      <alignment horizontal="center" vertical="center" wrapText="1"/>
    </xf>
    <xf numFmtId="0" fontId="24" fillId="13" borderId="22" applyAlignment="1" pivotButton="0" quotePrefix="0" xfId="0">
      <alignment horizontal="center" vertical="center" wrapText="1"/>
    </xf>
    <xf numFmtId="0" fontId="1" fillId="5" borderId="1" applyAlignment="1" pivotButton="0" quotePrefix="0" xfId="0">
      <alignment horizontal="center" wrapText="1"/>
    </xf>
    <xf numFmtId="0" fontId="8" fillId="6" borderId="12" applyAlignment="1" pivotButton="0" quotePrefix="0" xfId="0">
      <alignment horizontal="left" vertical="center"/>
    </xf>
    <xf numFmtId="0" fontId="11" fillId="6" borderId="3" applyAlignment="1" pivotButton="0" quotePrefix="0" xfId="0">
      <alignment vertical="center" wrapText="1"/>
    </xf>
    <xf numFmtId="0" fontId="11" fillId="6" borderId="7" applyAlignment="1" pivotButton="0" quotePrefix="0" xfId="0">
      <alignment horizontal="left" vertical="center" wrapText="1"/>
    </xf>
    <xf numFmtId="0" fontId="35" fillId="0" borderId="3" applyAlignment="1" pivotButton="0" quotePrefix="0" xfId="0">
      <alignment horizontal="center" vertical="center" wrapText="1"/>
    </xf>
    <xf numFmtId="0" fontId="24" fillId="3" borderId="22" applyAlignment="1" pivotButton="0" quotePrefix="0" xfId="0">
      <alignment horizontal="center" vertical="center" wrapText="1"/>
    </xf>
    <xf numFmtId="0" fontId="5" fillId="0" borderId="5" applyAlignment="1" pivotButton="0" quotePrefix="0" xfId="0">
      <alignment vertical="center"/>
    </xf>
    <xf numFmtId="0" fontId="5" fillId="0" borderId="0" applyAlignment="1" pivotButton="0" quotePrefix="0" xfId="0">
      <alignment vertical="center"/>
    </xf>
    <xf numFmtId="0" fontId="14" fillId="6" borderId="0" applyAlignment="1" pivotButton="0" quotePrefix="0" xfId="0">
      <alignment horizontal="center" vertical="center"/>
    </xf>
    <xf numFmtId="0" fontId="9" fillId="0" borderId="0" applyAlignment="1" pivotButton="0" quotePrefix="0" xfId="0">
      <alignment vertical="center"/>
    </xf>
    <xf numFmtId="0" fontId="7" fillId="0" borderId="5" applyAlignment="1" pivotButton="0" quotePrefix="0" xfId="0">
      <alignment horizontal="center" vertical="center" wrapText="1"/>
    </xf>
    <xf numFmtId="0" fontId="7" fillId="0" borderId="0" applyAlignment="1" pivotButton="0" quotePrefix="0" xfId="0">
      <alignment vertical="center" wrapText="1"/>
    </xf>
    <xf numFmtId="0" fontId="2" fillId="0" borderId="5" applyAlignment="1" pivotButton="0" quotePrefix="0" xfId="0">
      <alignment wrapText="1"/>
    </xf>
    <xf numFmtId="0" fontId="3" fillId="0" borderId="0" applyAlignment="1" pivotButton="0" quotePrefix="0" xfId="0">
      <alignment horizontal="center" wrapText="1"/>
    </xf>
    <xf numFmtId="0" fontId="19" fillId="0" borderId="0" applyAlignment="1" pivotButton="0" quotePrefix="0" xfId="0">
      <alignment horizontal="center"/>
    </xf>
    <xf numFmtId="0" fontId="20" fillId="0" borderId="0" pivotButton="0" quotePrefix="0" xfId="0"/>
    <xf numFmtId="0" fontId="35" fillId="0" borderId="28" applyAlignment="1" pivotButton="0" quotePrefix="0" xfId="0">
      <alignment horizontal="center" vertical="center" wrapText="1"/>
    </xf>
    <xf numFmtId="0" fontId="19" fillId="7" borderId="0" pivotButton="0" quotePrefix="0" xfId="0"/>
    <xf numFmtId="0" fontId="19" fillId="0" borderId="5" applyAlignment="1" pivotButton="0" quotePrefix="0" xfId="0">
      <alignment horizontal="right"/>
    </xf>
    <xf numFmtId="0" fontId="19" fillId="0" borderId="0" applyAlignment="1" pivotButton="0" quotePrefix="0" xfId="0">
      <alignment horizontal="right"/>
    </xf>
    <xf numFmtId="0" fontId="19" fillId="0" borderId="13" pivotButton="0" quotePrefix="0" xfId="0"/>
    <xf numFmtId="0" fontId="19" fillId="0" borderId="29" pivotButton="0" quotePrefix="0" xfId="0"/>
    <xf numFmtId="0" fontId="24" fillId="3" borderId="14" applyAlignment="1" pivotButton="0" quotePrefix="0" xfId="0">
      <alignment horizontal="center" vertical="center" wrapText="1"/>
    </xf>
    <xf numFmtId="0" fontId="19" fillId="4" borderId="27" pivotButton="0" quotePrefix="0" xfId="0"/>
    <xf numFmtId="0" fontId="19" fillId="4" borderId="2" pivotButton="0" quotePrefix="0" xfId="0"/>
    <xf numFmtId="0" fontId="19" fillId="4" borderId="14" pivotButton="0" quotePrefix="0" xfId="0"/>
    <xf numFmtId="0" fontId="19" fillId="11" borderId="2" pivotButton="0" quotePrefix="0" xfId="0"/>
    <xf numFmtId="0" fontId="5" fillId="0" borderId="20" applyAlignment="1" pivotButton="0" quotePrefix="0" xfId="0">
      <alignment vertical="center"/>
    </xf>
    <xf numFmtId="0" fontId="14" fillId="6" borderId="20" applyAlignment="1" pivotButton="0" quotePrefix="0" xfId="0">
      <alignment horizontal="center" vertical="center"/>
    </xf>
    <xf numFmtId="0" fontId="8" fillId="6" borderId="31" applyAlignment="1" pivotButton="0" quotePrefix="0" xfId="0">
      <alignment horizontal="left" vertical="center"/>
    </xf>
    <xf numFmtId="0" fontId="9" fillId="0" borderId="20" applyAlignment="1" pivotButton="0" quotePrefix="0" xfId="0">
      <alignment vertical="center"/>
    </xf>
    <xf numFmtId="0" fontId="1" fillId="5" borderId="25" applyAlignment="1" pivotButton="0" quotePrefix="0" xfId="0">
      <alignment horizontal="center" wrapText="1"/>
    </xf>
    <xf numFmtId="0" fontId="19" fillId="5" borderId="25" applyAlignment="1" pivotButton="0" quotePrefix="0" xfId="0">
      <alignment horizontal="center" vertical="center"/>
    </xf>
    <xf numFmtId="0" fontId="19" fillId="8" borderId="21" pivotButton="0" quotePrefix="0" xfId="0"/>
    <xf numFmtId="0" fontId="7" fillId="0" borderId="20" applyAlignment="1" pivotButton="0" quotePrefix="0" xfId="0">
      <alignment vertical="center" wrapText="1"/>
    </xf>
    <xf numFmtId="0" fontId="19" fillId="0" borderId="20" applyAlignment="1" pivotButton="0" quotePrefix="0" xfId="0">
      <alignment horizontal="center"/>
    </xf>
    <xf numFmtId="0" fontId="1" fillId="0" borderId="29" applyAlignment="1" pivotButton="0" quotePrefix="0" xfId="0">
      <alignment horizontal="center" vertical="center" wrapText="1"/>
    </xf>
    <xf numFmtId="0" fontId="11" fillId="0" borderId="24" applyAlignment="1" pivotButton="0" quotePrefix="0" xfId="0">
      <alignment horizontal="left" vertical="center" wrapText="1"/>
    </xf>
    <xf numFmtId="0" fontId="11" fillId="0" borderId="25" applyAlignment="1" pivotButton="0" quotePrefix="0" xfId="0">
      <alignment horizontal="left" vertical="center" wrapText="1"/>
    </xf>
    <xf numFmtId="0" fontId="11" fillId="0" borderId="26" applyAlignment="1" pivotButton="0" quotePrefix="0" xfId="0">
      <alignment horizontal="left" vertical="center" wrapText="1"/>
    </xf>
    <xf numFmtId="0" fontId="26" fillId="0" borderId="20" applyAlignment="1" pivotButton="0" quotePrefix="0" xfId="0">
      <alignment horizontal="right"/>
    </xf>
    <xf numFmtId="0" fontId="19" fillId="15" borderId="0" pivotButton="0" quotePrefix="0" xfId="0"/>
    <xf numFmtId="0" fontId="19" fillId="15" borderId="20" pivotButton="0" quotePrefix="0" xfId="0"/>
    <xf numFmtId="0" fontId="7" fillId="15" borderId="0" applyAlignment="1" pivotButton="0" quotePrefix="0" xfId="0">
      <alignment vertical="center" wrapText="1"/>
    </xf>
    <xf numFmtId="0" fontId="33" fillId="15" borderId="20" pivotButton="0" quotePrefix="0" xfId="0"/>
    <xf numFmtId="0" fontId="24" fillId="7" borderId="1" applyAlignment="1" pivotButton="0" quotePrefix="0" xfId="0">
      <alignment horizontal="center" vertical="center"/>
    </xf>
    <xf numFmtId="0" fontId="23" fillId="6" borderId="13" applyAlignment="1" pivotButton="0" quotePrefix="0" xfId="0">
      <alignment horizontal="center" vertical="center"/>
    </xf>
    <xf numFmtId="0" fontId="0" fillId="0" borderId="15" applyAlignment="1" pivotButton="0" quotePrefix="0" xfId="0">
      <alignment horizontal="center" vertical="center"/>
    </xf>
    <xf numFmtId="0" fontId="23" fillId="6" borderId="12" applyAlignment="1" pivotButton="0" quotePrefix="0" xfId="0">
      <alignment horizontal="center" vertical="center"/>
    </xf>
    <xf numFmtId="0" fontId="0" fillId="0" borderId="12" applyAlignment="1" pivotButton="0" quotePrefix="0" xfId="0">
      <alignment horizontal="center" vertical="center"/>
    </xf>
    <xf numFmtId="0" fontId="35" fillId="0" borderId="33" applyAlignment="1" pivotButton="0" quotePrefix="0" xfId="0">
      <alignment horizontal="center" vertical="center" wrapText="1"/>
    </xf>
    <xf numFmtId="0" fontId="11" fillId="6" borderId="34" applyAlignment="1" pivotButton="0" quotePrefix="0" xfId="0">
      <alignment vertical="center" wrapText="1"/>
    </xf>
    <xf numFmtId="0" fontId="11" fillId="6" borderId="33" applyAlignment="1" pivotButton="0" quotePrefix="0" xfId="0">
      <alignment vertical="center" wrapText="1"/>
    </xf>
    <xf numFmtId="0" fontId="19" fillId="0" borderId="33" pivotButton="0" quotePrefix="0" xfId="0"/>
    <xf numFmtId="0" fontId="19" fillId="0" borderId="35" pivotButton="0" quotePrefix="0" xfId="0"/>
    <xf numFmtId="0" fontId="0" fillId="16" borderId="0" pivotButton="0" quotePrefix="0" xfId="0"/>
    <xf numFmtId="0" fontId="20" fillId="7" borderId="5" applyAlignment="1" pivotButton="0" quotePrefix="0" xfId="0">
      <alignment horizontal="center" vertical="center"/>
    </xf>
    <xf numFmtId="0" fontId="20" fillId="7" borderId="0" applyAlignment="1" pivotButton="0" quotePrefix="0" xfId="0">
      <alignment horizontal="center" vertical="center"/>
    </xf>
    <xf numFmtId="0" fontId="20" fillId="7" borderId="20" applyAlignment="1" pivotButton="0" quotePrefix="0" xfId="0">
      <alignment vertical="center"/>
    </xf>
    <xf numFmtId="0" fontId="19" fillId="0" borderId="4" pivotButton="0" quotePrefix="0" xfId="0"/>
    <xf numFmtId="0" fontId="19" fillId="0" borderId="19" pivotButton="0" quotePrefix="0" xfId="0"/>
    <xf numFmtId="0" fontId="30" fillId="17" borderId="6" applyAlignment="1" pivotButton="0" quotePrefix="0" xfId="0">
      <alignment horizontal="centerContinuous" vertical="top"/>
    </xf>
    <xf numFmtId="0" fontId="30" fillId="17" borderId="4" applyAlignment="1" pivotButton="0" quotePrefix="0" xfId="0">
      <alignment horizontal="centerContinuous" vertical="top"/>
    </xf>
    <xf numFmtId="0" fontId="30" fillId="17" borderId="19" applyAlignment="1" pivotButton="0" quotePrefix="0" xfId="0">
      <alignment horizontal="centerContinuous" vertical="top"/>
    </xf>
    <xf numFmtId="0" fontId="34" fillId="7" borderId="6" applyAlignment="1" pivotButton="0" quotePrefix="0" xfId="0">
      <alignment horizontal="center" vertical="center"/>
    </xf>
    <xf numFmtId="0" fontId="34" fillId="7" borderId="19" applyAlignment="1" pivotButton="0" quotePrefix="0" xfId="0">
      <alignment horizontal="center" vertical="center"/>
    </xf>
    <xf numFmtId="0" fontId="0" fillId="0" borderId="5" pivotButton="0" quotePrefix="0" xfId="0"/>
    <xf numFmtId="0" fontId="0" fillId="0" borderId="36" pivotButton="0" quotePrefix="0" xfId="0"/>
    <xf numFmtId="0" fontId="37" fillId="0" borderId="5" pivotButton="0" quotePrefix="0" xfId="0"/>
    <xf numFmtId="0" fontId="37" fillId="0" borderId="20" pivotButton="0" quotePrefix="0" xfId="0"/>
    <xf numFmtId="0" fontId="0" fillId="0" borderId="20" pivotButton="0" quotePrefix="0" xfId="0"/>
    <xf numFmtId="0" fontId="38" fillId="0" borderId="5" applyAlignment="1" pivotButton="0" quotePrefix="0" xfId="0">
      <alignment vertical="center"/>
    </xf>
    <xf numFmtId="0" fontId="39" fillId="0" borderId="5" pivotButton="0" quotePrefix="0" xfId="0"/>
    <xf numFmtId="0" fontId="39" fillId="0" borderId="20" pivotButton="0" quotePrefix="0" xfId="0"/>
    <xf numFmtId="0" fontId="0" fillId="0" borderId="37" pivotButton="0" quotePrefix="0" xfId="0"/>
    <xf numFmtId="0" fontId="36" fillId="0" borderId="5" pivotButton="0" quotePrefix="0" xfId="0"/>
    <xf numFmtId="0" fontId="19" fillId="0" borderId="6" applyAlignment="1" pivotButton="0" quotePrefix="0" xfId="0">
      <alignment horizontal="right" indent="1"/>
    </xf>
    <xf numFmtId="0" fontId="19" fillId="0" borderId="5" applyAlignment="1" pivotButton="0" quotePrefix="0" xfId="0">
      <alignment horizontal="right" indent="1"/>
    </xf>
    <xf numFmtId="0" fontId="19" fillId="0" borderId="8" applyAlignment="1" pivotButton="0" quotePrefix="0" xfId="0">
      <alignment horizontal="right" indent="1"/>
    </xf>
    <xf numFmtId="20" fontId="32" fillId="12" borderId="5" applyAlignment="1" pivotButton="0" quotePrefix="0" xfId="0">
      <alignment horizontal="center" vertical="center"/>
    </xf>
    <xf numFmtId="0" fontId="32" fillId="12" borderId="0" applyAlignment="1" pivotButton="0" quotePrefix="0" xfId="0">
      <alignment horizontal="center" vertical="center"/>
    </xf>
    <xf numFmtId="0" fontId="32" fillId="12" borderId="20" applyAlignment="1" pivotButton="0" quotePrefix="0" xfId="0">
      <alignment horizontal="center" vertical="center"/>
    </xf>
    <xf numFmtId="0" fontId="32" fillId="12" borderId="5" applyAlignment="1" pivotButton="0" quotePrefix="0" xfId="0">
      <alignment horizontal="center" vertical="center"/>
    </xf>
    <xf numFmtId="0" fontId="31" fillId="17" borderId="5" applyAlignment="1" pivotButton="0" quotePrefix="0" xfId="0">
      <alignment horizontal="center" vertical="center" wrapText="1"/>
    </xf>
    <xf numFmtId="0" fontId="31" fillId="17" borderId="0" applyAlignment="1" pivotButton="0" quotePrefix="0" xfId="0">
      <alignment horizontal="center" vertical="center" wrapText="1"/>
    </xf>
    <xf numFmtId="0" fontId="31" fillId="17" borderId="20" applyAlignment="1" pivotButton="0" quotePrefix="0" xfId="0">
      <alignment horizontal="center" vertical="center" wrapText="1"/>
    </xf>
    <xf numFmtId="0" fontId="24" fillId="3" borderId="12" applyAlignment="1" pivotButton="0" quotePrefix="0" xfId="0">
      <alignment horizontal="center" wrapText="1"/>
    </xf>
    <xf numFmtId="0" fontId="24" fillId="3" borderId="2" applyAlignment="1" pivotButton="0" quotePrefix="0" xfId="0">
      <alignment horizontal="center" wrapText="1"/>
    </xf>
    <xf numFmtId="0" fontId="15" fillId="0" borderId="6" applyAlignment="1" pivotButton="0" quotePrefix="0" xfId="0">
      <alignment vertical="top" wrapText="1"/>
    </xf>
    <xf numFmtId="0" fontId="21" fillId="0" borderId="4" pivotButton="0" quotePrefix="0" xfId="0"/>
    <xf numFmtId="0" fontId="21" fillId="0" borderId="19" pivotButton="0" quotePrefix="0" xfId="0"/>
    <xf numFmtId="0" fontId="6" fillId="0" borderId="0" applyAlignment="1" pivotButton="0" quotePrefix="0" xfId="0">
      <alignment vertical="top" wrapText="1"/>
    </xf>
    <xf numFmtId="0" fontId="10" fillId="0" borderId="0" pivotButton="0" quotePrefix="0" xfId="0"/>
    <xf numFmtId="0" fontId="6" fillId="0" borderId="5" applyAlignment="1" pivotButton="0" quotePrefix="0" xfId="0">
      <alignment vertical="top" wrapText="1"/>
    </xf>
    <xf numFmtId="0" fontId="10" fillId="0" borderId="20" pivotButton="0" quotePrefix="0" xfId="0"/>
    <xf numFmtId="0" fontId="28" fillId="0" borderId="5" applyAlignment="1" pivotButton="0" quotePrefix="0" xfId="0">
      <alignment horizontal="center" vertical="center"/>
    </xf>
    <xf numFmtId="0" fontId="4" fillId="0" borderId="0" applyAlignment="1" pivotButton="0" quotePrefix="0" xfId="0">
      <alignment horizontal="center" vertical="center"/>
    </xf>
    <xf numFmtId="0" fontId="4" fillId="0" borderId="20" applyAlignment="1" pivotButton="0" quotePrefix="0" xfId="0">
      <alignment horizontal="center" vertical="center"/>
    </xf>
    <xf numFmtId="0" fontId="24" fillId="7" borderId="7" applyAlignment="1" pivotButton="0" quotePrefix="0" xfId="0">
      <alignment horizontal="center" vertical="center"/>
    </xf>
    <xf numFmtId="0" fontId="24" fillId="7" borderId="1" applyAlignment="1" pivotButton="0" quotePrefix="0" xfId="0">
      <alignment horizontal="center" vertical="center"/>
    </xf>
    <xf numFmtId="0" fontId="24" fillId="7" borderId="1" applyAlignment="1" pivotButton="0" quotePrefix="0" xfId="0">
      <alignment horizontal="left" vertical="center"/>
    </xf>
    <xf numFmtId="0" fontId="24" fillId="7" borderId="25" applyAlignment="1" pivotButton="0" quotePrefix="0" xfId="0">
      <alignment horizontal="left" vertical="center"/>
    </xf>
    <xf numFmtId="0" fontId="25" fillId="8" borderId="10" applyAlignment="1" pivotButton="0" quotePrefix="0" xfId="0">
      <alignment horizontal="center" vertical="center"/>
    </xf>
    <xf numFmtId="0" fontId="25" fillId="8" borderId="11" applyAlignment="1" pivotButton="0" quotePrefix="0" xfId="0">
      <alignment horizontal="center" vertical="center"/>
    </xf>
    <xf numFmtId="0" fontId="25" fillId="8" borderId="32" applyAlignment="1" pivotButton="0" quotePrefix="0" xfId="0">
      <alignment horizontal="center" vertical="center"/>
    </xf>
    <xf numFmtId="0" fontId="0" fillId="0" borderId="15" applyAlignment="1" pivotButton="0" quotePrefix="0" xfId="0">
      <alignment horizontal="left" vertical="center" wrapText="1"/>
    </xf>
    <xf numFmtId="0" fontId="0" fillId="0" borderId="30" applyAlignment="1" pivotButton="0" quotePrefix="0" xfId="0">
      <alignment horizontal="left" vertical="center" wrapText="1"/>
    </xf>
    <xf numFmtId="0" fontId="23" fillId="6" borderId="16" applyAlignment="1" pivotButton="0" quotePrefix="0" xfId="0">
      <alignment horizontal="center" vertical="center"/>
    </xf>
    <xf numFmtId="0" fontId="23" fillId="6" borderId="13" applyAlignment="1" pivotButton="0" quotePrefix="0" xfId="0">
      <alignment horizontal="center" vertical="center"/>
    </xf>
    <xf numFmtId="0" fontId="0" fillId="0" borderId="17" applyAlignment="1" pivotButton="0" quotePrefix="0" xfId="0">
      <alignment horizontal="center" vertical="center"/>
    </xf>
    <xf numFmtId="0" fontId="0" fillId="0" borderId="15" applyAlignment="1" pivotButton="0" quotePrefix="0" xfId="0">
      <alignment horizontal="center" vertical="center"/>
    </xf>
    <xf numFmtId="0" fontId="27" fillId="6" borderId="17" applyAlignment="1" pivotButton="0" quotePrefix="0" xfId="0">
      <alignment horizontal="center" vertical="top" wrapText="1"/>
    </xf>
    <xf numFmtId="0" fontId="18" fillId="0" borderId="15" applyAlignment="1" pivotButton="0" quotePrefix="0" xfId="0">
      <alignment horizontal="center" vertical="top" wrapText="1"/>
    </xf>
    <xf numFmtId="0" fontId="18" fillId="0" borderId="30" applyAlignment="1" pivotButton="0" quotePrefix="0" xfId="0">
      <alignment horizontal="center" vertical="top" wrapText="1"/>
    </xf>
    <xf numFmtId="0" fontId="14" fillId="6" borderId="6" applyAlignment="1" pivotButton="0" quotePrefix="0" xfId="0">
      <alignment horizontal="center" vertical="center" wrapText="1"/>
    </xf>
    <xf numFmtId="0" fontId="14" fillId="6" borderId="4" applyAlignment="1" pivotButton="0" quotePrefix="0" xfId="0">
      <alignment horizontal="center" vertical="center"/>
    </xf>
    <xf numFmtId="0" fontId="14" fillId="6" borderId="19" applyAlignment="1" pivotButton="0" quotePrefix="0" xfId="0">
      <alignment horizontal="center" vertical="center"/>
    </xf>
    <xf numFmtId="0" fontId="23" fillId="6" borderId="18" applyAlignment="1" pivotButton="0" quotePrefix="0" xfId="0">
      <alignment horizontal="center" vertical="center"/>
    </xf>
    <xf numFmtId="0" fontId="0" fillId="0" borderId="2" applyAlignment="1" pivotButton="0" quotePrefix="0" xfId="0">
      <alignment horizontal="center" vertical="center"/>
    </xf>
    <xf numFmtId="0" fontId="8" fillId="6" borderId="12" applyAlignment="1" pivotButton="0" quotePrefix="0" xfId="0">
      <alignment horizontal="left" vertical="center"/>
    </xf>
    <xf numFmtId="0" fontId="8" fillId="6" borderId="31" applyAlignment="1" pivotButton="0" quotePrefix="0" xfId="0">
      <alignment horizontal="left" vertical="center"/>
    </xf>
    <xf numFmtId="0" fontId="23" fillId="6" borderId="7" applyAlignment="1" pivotButton="0" quotePrefix="0" xfId="0">
      <alignment horizontal="center" vertical="center"/>
    </xf>
    <xf numFmtId="0" fontId="23" fillId="6" borderId="1" applyAlignment="1" pivotButton="0" quotePrefix="0" xfId="0">
      <alignment horizontal="center" vertical="center"/>
    </xf>
    <xf numFmtId="0" fontId="23" fillId="6" borderId="5" applyAlignment="1" pivotButton="0" quotePrefix="0" xfId="0">
      <alignment horizontal="left" vertical="top" wrapText="1"/>
    </xf>
    <xf numFmtId="0" fontId="23" fillId="6" borderId="0" applyAlignment="1" pivotButton="0" quotePrefix="0" xfId="0">
      <alignment horizontal="left" vertical="top" wrapText="1"/>
    </xf>
    <xf numFmtId="0" fontId="23" fillId="6" borderId="20" applyAlignment="1" pivotButton="0" quotePrefix="0" xfId="0">
      <alignment horizontal="left" vertical="top" wrapText="1"/>
    </xf>
    <xf numFmtId="0" fontId="8" fillId="6" borderId="13" applyAlignment="1" pivotButton="0" quotePrefix="0" xfId="0">
      <alignment horizontal="left" vertical="center" wrapText="1"/>
    </xf>
    <xf numFmtId="0" fontId="8" fillId="6" borderId="29" applyAlignment="1" pivotButton="0" quotePrefix="0" xfId="0">
      <alignment horizontal="left" vertical="center" wrapText="1"/>
    </xf>
    <xf numFmtId="0" fontId="8" fillId="6" borderId="13" applyAlignment="1" pivotButton="0" quotePrefix="0" xfId="0">
      <alignment horizontal="left" vertical="center"/>
    </xf>
    <xf numFmtId="0" fontId="8" fillId="6" borderId="29" applyAlignment="1" pivotButton="0" quotePrefix="0" xfId="0">
      <alignment horizontal="left" vertical="center"/>
    </xf>
    <xf numFmtId="0" fontId="16" fillId="0" borderId="5" pivotButton="0" quotePrefix="0" xfId="0"/>
    <xf numFmtId="0" fontId="22" fillId="0" borderId="0" pivotButton="0" quotePrefix="0" xfId="0"/>
    <xf numFmtId="0" fontId="10" fillId="0" borderId="8" pivotButton="0" quotePrefix="0" xfId="0"/>
    <xf numFmtId="0" fontId="26" fillId="0" borderId="9" pivotButton="0" quotePrefix="0" xfId="0"/>
    <xf numFmtId="0" fontId="26" fillId="0" borderId="21" pivotButton="0" quotePrefix="0" xfId="0"/>
    <xf numFmtId="0" fontId="3" fillId="5" borderId="1" applyAlignment="1" pivotButton="0" quotePrefix="0" xfId="0">
      <alignment wrapText="1"/>
    </xf>
    <xf numFmtId="0" fontId="3" fillId="5" borderId="25" applyAlignment="1" pivotButton="0" quotePrefix="0" xfId="0">
      <alignment wrapText="1"/>
    </xf>
    <xf numFmtId="0" fontId="3" fillId="5" borderId="1" applyAlignment="1" pivotButton="0" quotePrefix="0" xfId="0">
      <alignment horizontal="left" wrapText="1"/>
    </xf>
    <xf numFmtId="0" fontId="3" fillId="5" borderId="25" applyAlignment="1" pivotButton="0" quotePrefix="0" xfId="0">
      <alignment horizontal="left" wrapText="1"/>
    </xf>
    <xf numFmtId="14" fontId="3" fillId="5" borderId="1" applyAlignment="1" pivotButton="0" quotePrefix="0" xfId="0">
      <alignment horizontal="left" wrapText="1"/>
    </xf>
    <xf numFmtId="14" fontId="3" fillId="5" borderId="25" applyAlignment="1" pivotButton="0" quotePrefix="0" xfId="0">
      <alignment horizontal="left" wrapText="1"/>
    </xf>
    <xf numFmtId="0" fontId="15" fillId="0" borderId="40" applyAlignment="1" pivotButton="0" quotePrefix="0" xfId="0">
      <alignment vertical="top" wrapText="1"/>
    </xf>
    <xf numFmtId="0" fontId="0" fillId="0" borderId="4" pivotButton="0" quotePrefix="0" xfId="0"/>
    <xf numFmtId="0" fontId="0" fillId="0" borderId="19" pivotButton="0" quotePrefix="0" xfId="0"/>
    <xf numFmtId="0" fontId="6" fillId="0" borderId="39" applyAlignment="1" pivotButton="0" quotePrefix="0" xfId="0">
      <alignment vertical="top" wrapText="1"/>
    </xf>
    <xf numFmtId="0" fontId="14" fillId="6" borderId="40" applyAlignment="1" pivotButton="0" quotePrefix="0" xfId="0">
      <alignment horizontal="center" vertical="center" wrapText="1"/>
    </xf>
    <xf numFmtId="0" fontId="23" fillId="6" borderId="39" applyAlignment="1" pivotButton="0" quotePrefix="0" xfId="0">
      <alignment horizontal="left" vertical="top" wrapText="1"/>
    </xf>
    <xf numFmtId="0" fontId="27" fillId="6" borderId="42" applyAlignment="1" pivotButton="0" quotePrefix="0" xfId="0">
      <alignment horizontal="center" vertical="top" wrapText="1"/>
    </xf>
    <xf numFmtId="0" fontId="0" fillId="0" borderId="15" pivotButton="0" quotePrefix="0" xfId="0"/>
    <xf numFmtId="0" fontId="0" fillId="0" borderId="30" pivotButton="0" quotePrefix="0" xfId="0"/>
    <xf numFmtId="0" fontId="0" fillId="0" borderId="2" pivotButton="0" quotePrefix="0" xfId="0"/>
    <xf numFmtId="0" fontId="0" fillId="0" borderId="12" pivotButton="0" quotePrefix="0" xfId="0"/>
    <xf numFmtId="0" fontId="0" fillId="0" borderId="31" pivotButton="0" quotePrefix="0" xfId="0"/>
    <xf numFmtId="0" fontId="0" fillId="0" borderId="13" pivotButton="0" quotePrefix="0" xfId="0"/>
    <xf numFmtId="0" fontId="0" fillId="0" borderId="29" pivotButton="0" quotePrefix="0" xfId="0"/>
    <xf numFmtId="0" fontId="0" fillId="0" borderId="17" pivotButton="0" quotePrefix="0" xfId="0"/>
    <xf numFmtId="0" fontId="25" fillId="8" borderId="41" applyAlignment="1" pivotButton="0" quotePrefix="0" xfId="0">
      <alignment horizontal="center" vertical="center"/>
    </xf>
    <xf numFmtId="0" fontId="0" fillId="0" borderId="11" pivotButton="0" quotePrefix="0" xfId="0"/>
    <xf numFmtId="0" fontId="0" fillId="0" borderId="32" pivotButton="0" quotePrefix="0" xfId="0"/>
    <xf numFmtId="0" fontId="28" fillId="0" borderId="39" applyAlignment="1" pivotButton="0" quotePrefix="0" xfId="0">
      <alignment horizontal="center" vertical="center"/>
    </xf>
    <xf numFmtId="0" fontId="31" fillId="17" borderId="39" applyAlignment="1" pivotButton="0" quotePrefix="0" xfId="0">
      <alignment horizontal="center" vertical="center" wrapText="1"/>
    </xf>
    <xf numFmtId="20" fontId="32" fillId="12" borderId="39" applyAlignment="1" pivotButton="0" quotePrefix="0" xfId="0">
      <alignment horizontal="center" vertical="center"/>
    </xf>
    <xf numFmtId="0" fontId="10" fillId="0" borderId="38" pivotButton="0" quotePrefix="0" xfId="0"/>
    <xf numFmtId="0" fontId="0" fillId="0" borderId="9" pivotButton="0" quotePrefix="0" xfId="0"/>
    <xf numFmtId="0" fontId="0" fillId="0" borderId="21" pivotButton="0" quotePrefix="0" xfId="0"/>
  </cellXfs>
  <cellStyles count="1">
    <cellStyle name="Normal" xfId="0" builtinId="0"/>
  </cellStyles>
  <dxfs count="1">
    <dxf>
      <fill>
        <patternFill>
          <bgColor rgb="FF92D05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1">
    <tabColor rgb="FF00B050"/>
    <outlinePr summaryBelow="1" summaryRight="1"/>
    <pageSetUpPr fitToPage="1"/>
  </sheetPr>
  <dimension ref="A1:AWB150984"/>
  <sheetViews>
    <sheetView showGridLines="0" tabSelected="1" topLeftCell="A9" zoomScale="70" zoomScaleNormal="70" workbookViewId="0">
      <selection activeCell="O21" sqref="O21"/>
    </sheetView>
  </sheetViews>
  <sheetFormatPr baseColWidth="8" defaultColWidth="9.21875" defaultRowHeight="13.8"/>
  <cols>
    <col width="20.77734375" customWidth="1" style="2" min="1" max="1"/>
    <col width="23.21875" bestFit="1" customWidth="1" style="2" min="2" max="2"/>
    <col width="29.77734375" bestFit="1" customWidth="1" style="2" min="3" max="3"/>
    <col hidden="1" width="4.77734375" customWidth="1" style="2" min="4" max="4"/>
    <col width="23.21875" bestFit="1" customWidth="1" style="2" min="5" max="5"/>
    <col width="22.21875" bestFit="1" customWidth="1" style="2" min="6" max="6"/>
    <col width="37.77734375" bestFit="1" customWidth="1" style="2" min="7" max="7"/>
    <col width="17.21875" bestFit="1" customWidth="1" style="2" min="8" max="8"/>
    <col hidden="1" width="22.5546875" customWidth="1" style="2" min="9" max="9"/>
    <col hidden="1" width="24.44140625" customWidth="1" style="2" min="10" max="10"/>
    <col hidden="1" width="35.21875" customWidth="1" style="2" min="11" max="11"/>
    <col width="3.5546875" customWidth="1" style="2" min="12" max="12"/>
    <col width="9.21875" customWidth="1" style="2" min="13" max="13"/>
    <col width="19.44140625" customWidth="1" style="2" min="14" max="14"/>
    <col width="49.77734375" customWidth="1" style="2" min="15" max="15"/>
    <col width="1.77734375" customWidth="1" style="2" min="16" max="16"/>
    <col width="9.21875" customWidth="1" style="2" min="17" max="19"/>
    <col width="9.21875" customWidth="1" style="2" min="20" max="16384"/>
  </cols>
  <sheetData>
    <row r="1" ht="31.5" customHeight="1">
      <c r="B1" s="177" t="n"/>
      <c r="C1" s="178" t="n"/>
      <c r="D1" s="178" t="n"/>
      <c r="E1" s="178" t="n"/>
      <c r="F1" s="178" t="n"/>
      <c r="G1" s="178" t="n"/>
      <c r="H1" s="179" t="n"/>
    </row>
    <row r="2">
      <c r="B2" s="180" t="n"/>
      <c r="H2" s="106" t="n"/>
    </row>
    <row r="3">
      <c r="A3" s="90" t="n"/>
      <c r="B3" s="127" t="n"/>
      <c r="I3" s="89" t="n"/>
      <c r="J3" s="56" t="n"/>
      <c r="K3" s="56" t="n"/>
      <c r="L3" s="56" t="n"/>
      <c r="M3" s="56" t="n"/>
      <c r="N3" s="56" t="n"/>
      <c r="O3" s="56" t="n"/>
      <c r="P3" s="56" t="n"/>
      <c r="Q3" s="57" t="n"/>
    </row>
    <row r="4">
      <c r="B4" s="180" t="n"/>
      <c r="H4" s="106" t="n"/>
      <c r="I4" s="77" t="n"/>
      <c r="J4" s="77" t="n"/>
      <c r="K4" s="77" t="n"/>
      <c r="L4" s="77" t="n"/>
      <c r="M4" s="77" t="n"/>
      <c r="N4" s="77" t="n"/>
      <c r="O4" s="77" t="n"/>
      <c r="P4" s="77" t="n"/>
      <c r="Q4" s="78" t="n"/>
    </row>
    <row r="5" ht="31.5" customHeight="1" thickBot="1">
      <c r="B5" s="42" t="n"/>
      <c r="C5" s="43" t="n"/>
      <c r="D5" s="43" t="n"/>
      <c r="E5" s="43" t="n"/>
      <c r="F5" s="43" t="n"/>
      <c r="G5" s="43" t="n"/>
      <c r="H5" s="63" t="n"/>
      <c r="I5" s="77" t="n"/>
      <c r="J5" s="77" t="n"/>
      <c r="K5" s="77" t="n"/>
      <c r="L5" s="77" t="n"/>
      <c r="M5" s="77" t="n"/>
      <c r="N5" s="77" t="n"/>
      <c r="O5" s="77" t="n"/>
      <c r="P5" s="77" t="n"/>
      <c r="Q5" s="78" t="n"/>
    </row>
    <row r="6" ht="41.25" customHeight="1">
      <c r="B6" s="181" t="inlineStr">
        <is>
          <t xml:space="preserve">
Change Request for AIM Order Proposals</t>
        </is>
      </c>
      <c r="C6" s="178" t="n"/>
      <c r="D6" s="178" t="n"/>
      <c r="E6" s="178" t="n"/>
      <c r="F6" s="178" t="n"/>
      <c r="G6" s="178" t="n"/>
      <c r="H6" s="179" t="n"/>
      <c r="I6" s="77" t="n"/>
      <c r="J6" s="77" t="n"/>
      <c r="K6" s="77" t="n"/>
      <c r="L6" s="77" t="n"/>
      <c r="M6" s="77" t="n"/>
      <c r="N6" s="77" t="n"/>
      <c r="O6" s="77" t="n"/>
      <c r="P6" s="77" t="n"/>
      <c r="Q6" s="78" t="n"/>
    </row>
    <row r="7" ht="10.35" customHeight="1">
      <c r="B7" s="5" t="n"/>
      <c r="C7" s="44" t="n"/>
      <c r="D7" s="44" t="n"/>
      <c r="E7" s="44" t="n"/>
      <c r="F7" s="44" t="n"/>
      <c r="G7" s="44" t="n"/>
      <c r="H7" s="64" t="n"/>
      <c r="I7" s="77" t="n"/>
      <c r="J7" s="77" t="n"/>
      <c r="K7" s="77" t="n"/>
      <c r="L7" s="77" t="n"/>
      <c r="M7" s="77" t="n"/>
      <c r="N7" s="77" t="n"/>
      <c r="O7" s="77" t="n"/>
      <c r="P7" s="77" t="n"/>
      <c r="Q7" s="78" t="n"/>
    </row>
    <row r="8" ht="51" customHeight="1">
      <c r="B8" s="182" t="inlineStr">
        <is>
          <t xml:space="preserve">Please provide the type of change (increase or decrease) to the order proposal, the Restaurant's Current Stock On Hand (in cartons) and the reason for the requested change (from the below options) . You do not need to provide the quantity that the order will be adjusted by, this will be determined by the Restaurant Plannner after reviewing the information you provide below. </t>
        </is>
      </c>
      <c r="H8" s="106" t="n"/>
      <c r="I8" s="77" t="n"/>
      <c r="J8" s="77" t="n"/>
      <c r="K8" s="77" t="n"/>
      <c r="L8" s="77" t="n"/>
      <c r="M8" s="77" t="n"/>
      <c r="N8" s="77" t="n"/>
      <c r="O8" s="77" t="n"/>
      <c r="P8" s="77" t="n"/>
      <c r="Q8" s="78" t="n"/>
    </row>
    <row r="9" ht="53.25" customHeight="1">
      <c r="B9" s="183" t="inlineStr">
        <is>
          <t>Please note: Changes to QTYs of Ops Supplies are not permitted in this form. If ‘Specials’ are required prior to your next Order Proposal, to replenish Manual Items and Ops Supplies, then the Restaurant is accountable for the cost.</t>
        </is>
      </c>
      <c r="C9" s="184" t="n"/>
      <c r="D9" s="184" t="n"/>
      <c r="E9" s="184" t="n"/>
      <c r="F9" s="184" t="n"/>
      <c r="G9" s="184" t="n"/>
      <c r="H9" s="185" t="n"/>
      <c r="I9" s="77" t="n"/>
      <c r="J9" s="77" t="n"/>
      <c r="K9" s="77" t="n"/>
      <c r="L9" s="77" t="n"/>
      <c r="M9" s="77" t="n"/>
      <c r="N9" s="77" t="n"/>
      <c r="O9" s="77" t="n"/>
      <c r="P9" s="77" t="n"/>
      <c r="Q9" s="78" t="n"/>
    </row>
    <row r="10" ht="21.75" customHeight="1">
      <c r="B10" s="134" t="inlineStr">
        <is>
          <t>Reason for Change</t>
        </is>
      </c>
      <c r="C10" s="186" t="n"/>
      <c r="D10" s="135" t="n"/>
      <c r="E10" s="136" t="n"/>
      <c r="F10" s="187" t="n"/>
      <c r="G10" s="187" t="n"/>
      <c r="H10" s="186" t="n"/>
      <c r="I10" s="77" t="n"/>
      <c r="J10" s="77" t="n"/>
      <c r="K10" s="77" t="n"/>
      <c r="L10" s="77" t="n"/>
      <c r="M10" s="77" t="n"/>
      <c r="N10" s="77" t="n"/>
      <c r="O10" s="77" t="n"/>
      <c r="P10" s="77" t="n"/>
      <c r="Q10" s="78" t="n"/>
    </row>
    <row r="11" ht="21.75" customHeight="1">
      <c r="B11" s="157" t="inlineStr">
        <is>
          <t>Stock On Hand Variance</t>
        </is>
      </c>
      <c r="C11" s="186" t="n"/>
      <c r="D11" s="84" t="n"/>
      <c r="E11" s="156" t="n"/>
      <c r="F11" s="187" t="n"/>
      <c r="G11" s="187" t="n"/>
      <c r="H11" s="188" t="n"/>
      <c r="I11" s="77" t="n"/>
      <c r="J11" s="77" t="n"/>
      <c r="K11" s="77" t="n"/>
      <c r="L11" s="77" t="n"/>
      <c r="M11" s="77" t="n"/>
      <c r="N11" s="77" t="n"/>
      <c r="O11" s="77" t="n"/>
      <c r="P11" s="77" t="n"/>
      <c r="Q11" s="78" t="n"/>
    </row>
    <row r="12" ht="21.75" customHeight="1">
      <c r="B12" s="157" t="inlineStr">
        <is>
          <t>Manual Items</t>
        </is>
      </c>
      <c r="C12" s="186" t="n"/>
      <c r="D12" s="85" t="n"/>
      <c r="E12" s="155" t="n"/>
      <c r="F12" s="155" t="n"/>
      <c r="G12" s="155" t="n"/>
      <c r="H12" s="156" t="n"/>
      <c r="I12" s="77" t="n"/>
      <c r="J12" s="77" t="n"/>
      <c r="K12" s="77" t="n"/>
      <c r="L12" s="77" t="n"/>
      <c r="M12" s="77" t="n"/>
      <c r="N12" s="77" t="n"/>
      <c r="O12" s="77" t="n"/>
      <c r="P12" s="77" t="n"/>
      <c r="Q12" s="78" t="n"/>
    </row>
    <row r="13" ht="21.75" customHeight="1">
      <c r="B13" s="157" t="inlineStr">
        <is>
          <t>Safety Stock</t>
        </is>
      </c>
      <c r="C13" s="186" t="n"/>
      <c r="D13" s="84" t="n"/>
      <c r="E13" s="156" t="n"/>
      <c r="F13" s="187" t="n"/>
      <c r="G13" s="187" t="n"/>
      <c r="H13" s="188" t="n"/>
      <c r="I13" s="77" t="n"/>
      <c r="J13" s="77" t="n"/>
      <c r="K13" s="77" t="n"/>
      <c r="L13" s="77" t="n"/>
      <c r="M13" s="77" t="n"/>
      <c r="N13" s="77" t="n"/>
      <c r="O13" s="77" t="n"/>
      <c r="P13" s="77" t="n"/>
      <c r="Q13" s="78" t="n"/>
    </row>
    <row r="14" ht="21.75" customHeight="1">
      <c r="B14" s="157" t="inlineStr">
        <is>
          <t>Shelf Life</t>
        </is>
      </c>
      <c r="C14" s="186" t="n"/>
      <c r="D14" s="144" t="n"/>
      <c r="E14" s="165" t="n"/>
      <c r="F14" s="189" t="n"/>
      <c r="G14" s="189" t="n"/>
      <c r="H14" s="190" t="n"/>
      <c r="I14" s="77" t="n"/>
      <c r="J14" s="77" t="n"/>
      <c r="K14" s="77" t="n"/>
      <c r="L14" s="77" t="n"/>
      <c r="M14" s="77" t="n"/>
      <c r="N14" s="77" t="n"/>
      <c r="O14" s="77" t="n"/>
      <c r="P14" s="77" t="n"/>
      <c r="Q14" s="78" t="n"/>
    </row>
    <row r="15" ht="24" customHeight="1">
      <c r="B15" s="153" t="inlineStr">
        <is>
          <t>Usage</t>
        </is>
      </c>
      <c r="C15" s="189" t="n"/>
      <c r="D15" s="144" t="n"/>
      <c r="E15" s="163" t="n"/>
      <c r="F15" s="189" t="n"/>
      <c r="G15" s="189" t="n"/>
      <c r="H15" s="190" t="n"/>
      <c r="I15" s="77" t="n"/>
      <c r="J15" s="77" t="n"/>
      <c r="K15" s="77" t="n"/>
      <c r="L15" s="77" t="n"/>
      <c r="M15" s="77" t="n"/>
      <c r="N15" s="77" t="n"/>
      <c r="O15" s="77" t="n"/>
      <c r="P15" s="77" t="n"/>
      <c r="Q15" s="78" t="n"/>
    </row>
    <row r="16" ht="22.5" customHeight="1">
      <c r="B16" s="191" t="n"/>
      <c r="C16" s="184" t="n"/>
      <c r="D16" s="146" t="n"/>
      <c r="E16" s="142" t="n"/>
      <c r="F16" s="184" t="n"/>
      <c r="G16" s="184" t="n"/>
      <c r="H16" s="185" t="n"/>
      <c r="I16" s="77" t="n"/>
      <c r="J16" s="77" t="n"/>
      <c r="K16" s="77" t="n"/>
      <c r="L16" s="77" t="n"/>
      <c r="M16" s="77" t="n"/>
      <c r="N16" s="77" t="n"/>
      <c r="O16" s="77" t="n"/>
      <c r="P16" s="77" t="n"/>
      <c r="Q16" s="78" t="n"/>
    </row>
    <row r="17" ht="28.5" customHeight="1" thickBot="1">
      <c r="B17" s="42" t="n"/>
      <c r="C17" s="45" t="n"/>
      <c r="D17" s="45" t="n"/>
      <c r="E17" s="45" t="n"/>
      <c r="F17" s="45" t="n"/>
      <c r="G17" s="45" t="n"/>
      <c r="H17" s="66" t="n"/>
      <c r="I17" s="77" t="n"/>
      <c r="J17" s="77" t="n"/>
      <c r="K17" s="77" t="n"/>
      <c r="L17" s="77" t="n"/>
      <c r="M17" s="77" t="n"/>
      <c r="N17" s="77" t="n"/>
      <c r="O17" s="77" t="n"/>
      <c r="P17" s="77" t="n"/>
      <c r="Q17" s="78" t="n"/>
    </row>
    <row r="18" ht="21.75" customHeight="1">
      <c r="B18" s="192" t="inlineStr">
        <is>
          <t>Change Request - EXAMPLE AMENDMENT (Below example uses NSW WRINs)</t>
        </is>
      </c>
      <c r="C18" s="193" t="n"/>
      <c r="D18" s="193" t="n"/>
      <c r="E18" s="193" t="n"/>
      <c r="F18" s="193" t="n"/>
      <c r="G18" s="193" t="n"/>
      <c r="H18" s="194" t="n"/>
      <c r="I18" s="77" t="n"/>
      <c r="J18" s="77" t="n"/>
      <c r="K18" s="77" t="n"/>
      <c r="L18" s="77" t="n"/>
      <c r="M18" s="77" t="n"/>
      <c r="N18" s="77" t="n"/>
      <c r="O18" s="77" t="n"/>
      <c r="P18" s="77" t="n"/>
      <c r="Q18" s="78" t="n"/>
    </row>
    <row r="19" ht="28.5" customHeight="1">
      <c r="B19" s="9" t="inlineStr">
        <is>
          <t>WRIN NUMBER</t>
        </is>
      </c>
      <c r="C19" s="36" t="inlineStr">
        <is>
          <t>DESCRIPTION</t>
        </is>
      </c>
      <c r="D19" s="36" t="n"/>
      <c r="E19" s="8" t="inlineStr">
        <is>
          <t>Reduction Type</t>
        </is>
      </c>
      <c r="F19" s="8" t="inlineStr">
        <is>
          <t>Stock On Hand</t>
        </is>
      </c>
      <c r="G19" s="8" t="inlineStr">
        <is>
          <t>Select Reason for Change</t>
        </is>
      </c>
      <c r="H19" s="67" t="inlineStr">
        <is>
          <t>COMMENT</t>
        </is>
      </c>
      <c r="I19" s="77" t="n"/>
      <c r="J19" s="77" t="n"/>
      <c r="K19" s="77" t="n"/>
      <c r="L19" s="77" t="n"/>
      <c r="M19" s="77" t="n"/>
      <c r="N19" s="77" t="n"/>
      <c r="O19" s="77" t="n"/>
      <c r="P19" s="77" t="n"/>
      <c r="Q19" s="78" t="n"/>
    </row>
    <row r="20" ht="21.75" customHeight="1">
      <c r="B20" s="10" t="n">
        <v>11267</v>
      </c>
      <c r="C20" s="14" t="inlineStr">
        <is>
          <t>SHAKE MIX 10L NSW</t>
        </is>
      </c>
      <c r="D20" s="14" t="n"/>
      <c r="E20" s="3" t="inlineStr">
        <is>
          <t>Increase</t>
        </is>
      </c>
      <c r="F20" s="3" t="n">
        <v>4</v>
      </c>
      <c r="G20" s="3" t="inlineStr">
        <is>
          <t>Stock On Hand Variance</t>
        </is>
      </c>
      <c r="H20" s="68" t="n"/>
      <c r="I20" s="77" t="n"/>
      <c r="J20" s="77" t="n"/>
      <c r="K20" s="77" t="n"/>
      <c r="L20" s="77" t="n"/>
      <c r="M20" s="77" t="n"/>
      <c r="N20" s="77" t="n"/>
      <c r="O20" s="77" t="n"/>
      <c r="P20" s="77" t="n"/>
      <c r="Q20" s="78" t="n"/>
    </row>
    <row r="21" ht="21.75" customHeight="1">
      <c r="B21" s="10" t="n">
        <v>6147</v>
      </c>
      <c r="C21" s="14" t="inlineStr">
        <is>
          <t>BEEF 4:1 DBL LINER A</t>
        </is>
      </c>
      <c r="D21" s="14" t="n"/>
      <c r="E21" s="3" t="inlineStr">
        <is>
          <t>Increase</t>
        </is>
      </c>
      <c r="F21" s="3" t="n">
        <v>7.5</v>
      </c>
      <c r="G21" s="3" t="inlineStr">
        <is>
          <t>Usage</t>
        </is>
      </c>
      <c r="H21" s="68" t="n"/>
      <c r="I21" s="77" t="n"/>
      <c r="J21" s="77" t="n"/>
      <c r="K21" s="77" t="n"/>
      <c r="L21" s="77" t="n"/>
      <c r="M21" s="77" t="n"/>
      <c r="N21" s="77" t="n"/>
      <c r="O21" s="77" t="n"/>
      <c r="P21" s="77" t="n"/>
      <c r="Q21" s="78" t="n"/>
    </row>
    <row r="22" ht="21.75" customHeight="1" thickBot="1">
      <c r="B22" s="6" t="n"/>
      <c r="C22" s="7" t="n"/>
      <c r="D22" s="7" t="n"/>
      <c r="E22" s="7" t="n"/>
      <c r="F22" s="7" t="n"/>
      <c r="G22" s="7" t="n"/>
      <c r="H22" s="69" t="n"/>
      <c r="I22" s="77" t="n"/>
      <c r="J22" s="77" t="n"/>
      <c r="K22" s="77" t="n"/>
      <c r="L22" s="77" t="n"/>
      <c r="M22" s="77" t="n"/>
      <c r="N22" s="77" t="n"/>
      <c r="O22" s="77" t="n"/>
      <c r="P22" s="77" t="n"/>
      <c r="Q22" s="78" t="n"/>
    </row>
    <row r="23" ht="21.75" customHeight="1">
      <c r="B23" s="46" t="n"/>
      <c r="C23" s="47" t="n"/>
      <c r="D23" s="47" t="n"/>
      <c r="E23" s="47" t="n"/>
      <c r="F23" s="47" t="n"/>
      <c r="G23" s="47" t="n"/>
      <c r="H23" s="70" t="n"/>
      <c r="I23" s="79" t="n"/>
      <c r="J23" s="79" t="n"/>
      <c r="K23" s="79" t="n"/>
      <c r="L23" s="79" t="n"/>
      <c r="M23" s="77" t="n"/>
      <c r="N23" s="77" t="n"/>
      <c r="O23" s="77" t="n"/>
      <c r="P23" s="77" t="n"/>
      <c r="Q23" s="78" t="n"/>
    </row>
    <row r="24" ht="25.5" customHeight="1">
      <c r="B24" s="195" t="inlineStr">
        <is>
          <t xml:space="preserve"> Submit this form by 8am (AEST), the day after you receive your Order Proposal</t>
        </is>
      </c>
      <c r="H24" s="106" t="n"/>
      <c r="I24" s="77" t="n"/>
      <c r="J24" s="77" t="n"/>
      <c r="K24" s="77" t="n"/>
      <c r="L24" s="77" t="n"/>
      <c r="M24" s="77" t="n"/>
      <c r="N24" s="77" t="n"/>
      <c r="O24" s="77" t="n"/>
      <c r="P24" s="77" t="n"/>
      <c r="Q24" s="78" t="n"/>
    </row>
    <row r="25" ht="20.1" customHeight="1">
      <c r="B25" s="16" t="n"/>
      <c r="C25" s="1" t="inlineStr">
        <is>
          <t>RESTAURANT:</t>
        </is>
      </c>
      <c r="D25" s="1" t="n"/>
      <c r="E25" s="171" t="n"/>
      <c r="F25" s="187" t="n"/>
      <c r="G25" s="187" t="n"/>
      <c r="H25" s="186" t="n"/>
      <c r="I25" s="77" t="n"/>
      <c r="J25" s="77" t="n"/>
      <c r="K25" s="77" t="n"/>
      <c r="L25" s="77" t="n"/>
      <c r="M25" s="77" t="n"/>
      <c r="N25" s="77" t="n"/>
      <c r="O25" s="77" t="n"/>
      <c r="P25" s="77" t="n"/>
      <c r="Q25" s="78" t="n"/>
    </row>
    <row r="26" ht="20.1" customHeight="1">
      <c r="B26" s="16" t="n"/>
      <c r="C26" s="1" t="inlineStr">
        <is>
          <t>RESTAURANT NO:</t>
        </is>
      </c>
      <c r="D26" s="1" t="n"/>
      <c r="E26" s="173" t="n"/>
      <c r="F26" s="187" t="n"/>
      <c r="G26" s="187" t="n"/>
      <c r="H26" s="186" t="n"/>
      <c r="I26" s="77" t="n"/>
      <c r="J26" s="77" t="n"/>
      <c r="K26" s="77" t="n"/>
      <c r="L26" s="77" t="n"/>
      <c r="M26" s="77" t="n"/>
      <c r="N26" s="77" t="n"/>
      <c r="O26" s="77" t="n"/>
      <c r="P26" s="77" t="n"/>
      <c r="Q26" s="78" t="n"/>
    </row>
    <row r="27" ht="20.1" customHeight="1">
      <c r="B27" s="16" t="n"/>
      <c r="C27" s="1" t="inlineStr">
        <is>
          <t>MANAGERS NAME:</t>
        </is>
      </c>
      <c r="D27" s="1" t="n"/>
      <c r="E27" s="171" t="n"/>
      <c r="F27" s="187" t="n"/>
      <c r="G27" s="187" t="n"/>
      <c r="H27" s="186" t="n"/>
      <c r="I27" s="77" t="n"/>
      <c r="J27" s="77" t="n"/>
      <c r="K27" s="77" t="n"/>
      <c r="L27" s="77" t="n"/>
      <c r="M27" s="77" t="n"/>
      <c r="N27" s="77" t="n"/>
      <c r="O27" s="77" t="n"/>
      <c r="P27" s="77" t="n"/>
      <c r="Q27" s="78" t="n"/>
    </row>
    <row r="28" ht="20.1" customHeight="1">
      <c r="B28" s="16" t="n"/>
      <c r="C28" s="1" t="inlineStr">
        <is>
          <t>DATE/TIME:</t>
        </is>
      </c>
      <c r="D28" s="1" t="n"/>
      <c r="E28" s="175" t="n"/>
      <c r="F28" s="187" t="n"/>
      <c r="G28" s="187" t="n"/>
      <c r="H28" s="186" t="n"/>
      <c r="I28" s="77" t="n"/>
      <c r="J28" s="77" t="n"/>
      <c r="K28" s="77" t="n"/>
      <c r="L28" s="77" t="n"/>
      <c r="M28" s="77" t="n"/>
      <c r="N28" s="77" t="n"/>
      <c r="O28" s="77" t="n"/>
      <c r="P28" s="77" t="n"/>
      <c r="Q28" s="80" t="n"/>
      <c r="R28" s="15" t="n"/>
      <c r="S28" s="15" t="n"/>
      <c r="T28" s="15" t="n"/>
      <c r="U28" s="15" t="n"/>
      <c r="V28" s="15" t="n"/>
      <c r="W28" s="15" t="n"/>
      <c r="X28" s="15" t="n"/>
      <c r="Y28" s="15" t="n"/>
      <c r="Z28" s="15" t="n"/>
      <c r="AA28" s="15" t="n"/>
      <c r="AB28" s="15" t="n"/>
    </row>
    <row r="29" ht="20.1" customHeight="1">
      <c r="B29" s="16" t="n"/>
      <c r="C29" s="1" t="inlineStr">
        <is>
          <t>DELIVERY DATE:</t>
        </is>
      </c>
      <c r="D29" s="1" t="n"/>
      <c r="E29" s="175" t="n"/>
      <c r="F29" s="187" t="n"/>
      <c r="G29" s="187" t="n"/>
      <c r="H29" s="186" t="n"/>
      <c r="I29" s="77" t="n"/>
      <c r="J29" s="77" t="n"/>
      <c r="K29" s="77" t="n"/>
      <c r="L29" s="77" t="n"/>
      <c r="M29" s="77" t="n"/>
      <c r="N29" s="77" t="n"/>
      <c r="O29" s="77" t="n"/>
      <c r="P29" s="77" t="n"/>
      <c r="Q29" s="80" t="n"/>
      <c r="R29" s="15" t="n"/>
      <c r="S29" s="15" t="n"/>
      <c r="T29" s="15" t="n"/>
      <c r="U29" s="15" t="n"/>
      <c r="V29" s="15" t="n"/>
      <c r="W29" s="15" t="n"/>
      <c r="X29" s="15" t="n"/>
      <c r="Y29" s="15" t="n"/>
      <c r="Z29" s="15" t="n"/>
      <c r="AA29" s="15" t="n"/>
      <c r="AB29" s="15" t="n"/>
    </row>
    <row r="30" ht="15.6" customHeight="1">
      <c r="B30" s="48" t="n"/>
      <c r="C30" s="49" t="n"/>
      <c r="D30" s="49" t="n"/>
      <c r="E30" s="50" t="n"/>
      <c r="F30" s="50" t="n"/>
      <c r="G30" s="50" t="n"/>
      <c r="H30" s="71" t="n"/>
      <c r="I30" s="123" t="inlineStr">
        <is>
          <t>Internal Use Only</t>
        </is>
      </c>
      <c r="J30" s="186" t="n"/>
      <c r="K30" s="51" t="n"/>
      <c r="Q30" s="18" t="n"/>
      <c r="R30" s="15" t="n"/>
      <c r="S30" s="15" t="n"/>
      <c r="T30" s="15" t="n"/>
      <c r="U30" s="15" t="n"/>
      <c r="V30" s="15" t="n"/>
      <c r="W30" s="15" t="n"/>
      <c r="X30" s="15" t="n"/>
      <c r="Y30" s="15" t="n"/>
      <c r="Z30" s="15" t="n"/>
      <c r="AA30" s="15" t="n"/>
      <c r="AB30" s="15" t="n"/>
    </row>
    <row r="31" ht="34.5" customHeight="1" thickBot="1">
      <c r="B31" s="52" t="inlineStr">
        <is>
          <t>WRIN NUMBER</t>
        </is>
      </c>
      <c r="C31" s="40" t="inlineStr">
        <is>
          <t>DESCRIPTION</t>
        </is>
      </c>
      <c r="D31" s="86" t="n"/>
      <c r="E31" s="34" t="inlineStr">
        <is>
          <t>Reduction Type</t>
        </is>
      </c>
      <c r="F31" s="35" t="inlineStr">
        <is>
          <t>Stock On Hand</t>
        </is>
      </c>
      <c r="G31" s="34" t="inlineStr">
        <is>
          <t>Select Reason for Change</t>
        </is>
      </c>
      <c r="H31" s="72" t="inlineStr">
        <is>
          <t>COMMENT</t>
        </is>
      </c>
      <c r="I31" s="58" t="inlineStr">
        <is>
          <t>Add</t>
        </is>
      </c>
      <c r="J31" s="41" t="inlineStr">
        <is>
          <t>Cut</t>
        </is>
      </c>
      <c r="K31" s="41" t="inlineStr">
        <is>
          <t>Restaurant Action/Feedback for Restaurant</t>
        </is>
      </c>
      <c r="L31" s="53" t="n"/>
      <c r="Q31" s="18" t="n"/>
      <c r="R31" s="15" t="n"/>
      <c r="S31" s="15" t="n"/>
      <c r="T31" s="15" t="n"/>
      <c r="U31" s="15" t="n"/>
      <c r="V31" s="15" t="n"/>
      <c r="W31" s="15" t="n"/>
      <c r="X31" s="15" t="n"/>
      <c r="Y31" s="15" t="n"/>
      <c r="Z31" s="15" t="n"/>
      <c r="AA31" s="15" t="n"/>
      <c r="AB31" s="15" t="n"/>
    </row>
    <row r="32" ht="33.75" customHeight="1">
      <c r="B32" s="39" t="n">
        <v>112085</v>
      </c>
      <c r="C32" s="38" t="inlineStr">
        <is>
          <t xml:space="preserve">BACON RASHER </t>
        </is>
      </c>
      <c r="D32" s="87" t="n"/>
      <c r="E32" s="22" t="n"/>
      <c r="F32" s="27" t="n"/>
      <c r="G32" s="23" t="n"/>
      <c r="H32" s="73" t="n"/>
      <c r="I32" s="59" t="n"/>
      <c r="J32" s="24" t="n"/>
      <c r="K32" s="25" t="n"/>
      <c r="L32" s="53" t="n"/>
      <c r="N32" s="97" t="inlineStr">
        <is>
          <t>Item Look Up</t>
        </is>
      </c>
      <c r="O32" s="98" t="n"/>
      <c r="P32" s="99" t="n"/>
      <c r="Q32" s="18" t="n"/>
      <c r="R32" s="15" t="n"/>
      <c r="S32" s="15" t="n"/>
      <c r="T32" s="15" t="n"/>
      <c r="U32" s="15" t="n"/>
      <c r="V32" s="15" t="n"/>
      <c r="W32" s="15" t="n"/>
      <c r="X32" s="15" t="n"/>
      <c r="Y32" s="15" t="n"/>
      <c r="Z32" s="15" t="n"/>
      <c r="AA32" s="15" t="n"/>
      <c r="AB32" s="15" t="n"/>
    </row>
    <row r="33" ht="21" customHeight="1">
      <c r="B33" s="39" t="n"/>
      <c r="C33" s="38" t="n"/>
      <c r="D33" s="38" t="n"/>
      <c r="E33" s="11" t="n"/>
      <c r="F33" s="28" t="n"/>
      <c r="G33" s="12" t="n"/>
      <c r="H33" s="74" t="n"/>
      <c r="I33" s="60" t="n"/>
      <c r="J33" s="4" t="n"/>
      <c r="K33" s="26" t="n"/>
      <c r="L33" s="53" t="n"/>
      <c r="N33" s="196" t="inlineStr">
        <is>
          <t xml:space="preserve">Type part of the product name in yellow box below then press enter </t>
        </is>
      </c>
      <c r="P33" s="106" t="n"/>
      <c r="Q33" s="18" t="n"/>
      <c r="R33" s="15" t="n"/>
      <c r="S33" s="15" t="n"/>
      <c r="T33" s="15" t="n"/>
      <c r="U33" s="15" t="n"/>
      <c r="V33" s="15" t="n"/>
      <c r="W33" s="15" t="n"/>
      <c r="X33" s="15" t="n"/>
      <c r="Y33" s="15" t="n"/>
      <c r="Z33" s="15" t="n"/>
      <c r="AA33" s="15" t="n"/>
      <c r="AB33" s="15" t="n"/>
    </row>
    <row r="34" ht="21" customHeight="1">
      <c r="B34" s="39" t="n"/>
      <c r="C34" s="38" t="n"/>
      <c r="D34" s="38" t="n"/>
      <c r="E34" s="11" t="n"/>
      <c r="F34" s="28" t="n"/>
      <c r="G34" s="12" t="n"/>
      <c r="H34" s="74" t="n"/>
      <c r="I34" s="60" t="n"/>
      <c r="J34" s="4" t="n"/>
      <c r="K34" s="26" t="n"/>
      <c r="L34" s="53" t="n"/>
      <c r="N34" s="197" t="inlineStr">
        <is>
          <t>bag</t>
        </is>
      </c>
      <c r="P34" s="106" t="n"/>
      <c r="Q34" s="18" t="n"/>
      <c r="R34" s="15" t="n"/>
      <c r="S34" s="15" t="n"/>
      <c r="T34" s="15" t="n"/>
      <c r="U34" s="15" t="n"/>
      <c r="V34" s="15" t="n"/>
      <c r="W34" s="15" t="n"/>
      <c r="X34" s="15" t="n"/>
      <c r="Y34" s="15" t="n"/>
      <c r="Z34" s="15" t="n"/>
      <c r="AA34" s="15" t="n"/>
      <c r="AB34" s="15" t="n"/>
    </row>
    <row r="35" ht="21" customHeight="1">
      <c r="B35" s="39" t="n"/>
      <c r="C35" s="38" t="n"/>
      <c r="D35" s="38" t="n"/>
      <c r="E35" s="11" t="n"/>
      <c r="F35" s="28" t="n"/>
      <c r="G35" s="12" t="n"/>
      <c r="H35" s="74" t="n"/>
      <c r="I35" s="60" t="n"/>
      <c r="J35" s="4" t="n"/>
      <c r="K35" s="26" t="n"/>
      <c r="L35" s="53" t="n"/>
      <c r="N35" s="102" t="n"/>
      <c r="P35" s="106" t="n"/>
      <c r="Q35" s="18" t="n"/>
      <c r="R35" s="15" t="n"/>
      <c r="S35" s="15" t="n"/>
      <c r="T35" s="15" t="n"/>
      <c r="U35" s="15" t="n"/>
      <c r="V35" s="15" t="n"/>
      <c r="W35" s="15" t="n"/>
      <c r="X35" s="15" t="n"/>
      <c r="Y35" s="15" t="n"/>
      <c r="Z35" s="15" t="n"/>
      <c r="AA35" s="15" t="n"/>
      <c r="AB35" s="15" t="n"/>
    </row>
    <row r="36" ht="21" customHeight="1" thickBot="1">
      <c r="B36" s="39" t="n"/>
      <c r="C36" s="38" t="n"/>
      <c r="D36" s="38" t="n"/>
      <c r="E36" s="11" t="n"/>
      <c r="F36" s="28" t="n"/>
      <c r="G36" s="12" t="n"/>
      <c r="H36" s="74" t="n"/>
      <c r="I36" s="60" t="n"/>
      <c r="J36" s="4" t="n"/>
      <c r="K36" s="26" t="n"/>
      <c r="L36" s="53" t="n"/>
      <c r="N36" s="92" t="inlineStr">
        <is>
          <t>Wrin</t>
        </is>
      </c>
      <c r="O36" s="93" t="inlineStr">
        <is>
          <t>Product</t>
        </is>
      </c>
      <c r="P36" s="94" t="n"/>
      <c r="Q36" s="18" t="n"/>
      <c r="R36" s="15" t="n"/>
      <c r="S36" s="15" t="n"/>
      <c r="T36" s="15" t="n"/>
      <c r="U36" s="15" t="n"/>
      <c r="V36" s="15" t="n"/>
      <c r="W36" s="15" t="n"/>
      <c r="X36" s="15" t="n"/>
      <c r="Y36" s="15" t="n"/>
      <c r="Z36" s="15" t="n"/>
      <c r="AA36" s="15" t="n"/>
      <c r="AB36" s="15" t="n"/>
    </row>
    <row r="37" ht="21" customHeight="1">
      <c r="B37" s="39" t="n"/>
      <c r="C37" s="38" t="n"/>
      <c r="D37" s="38" t="n"/>
      <c r="E37" s="11" t="n"/>
      <c r="F37" s="28" t="n"/>
      <c r="G37" s="12" t="n"/>
      <c r="H37" s="74" t="n"/>
      <c r="I37" s="60" t="n"/>
      <c r="J37" s="4" t="n"/>
      <c r="K37" s="26" t="n"/>
      <c r="L37" s="53" t="n"/>
      <c r="N37" s="112">
        <f t="array" ref="N37">IFERROR(INDEX('Product List'!$A$2:$A$1002,MATCH(0,IF(1='Product List'!$C$2:$C$1002,COUNTIF('Change Request Form'!$N$36:$N36,'Product List'!$A$2:$A$1002),""),0)),"")</f>
        <v/>
      </c>
      <c r="O37" s="95">
        <f>IFERROR(IF(VLOOKUP(N37,'Product List'!A:D,4,FALSE)=1,VLOOKUP(N37,'Product List'!A:B,2,FALSE)&amp;"***",VLOOKUP(N37,'Product List'!A:B,2,FALSE)),"")</f>
        <v/>
      </c>
      <c r="P37" s="96" t="n"/>
      <c r="Q37" s="18" t="n"/>
      <c r="R37" s="15" t="n"/>
      <c r="S37" s="15" t="n"/>
      <c r="T37" s="15" t="n"/>
      <c r="U37" s="15" t="n"/>
      <c r="V37" s="15" t="n"/>
      <c r="W37" s="15" t="n"/>
      <c r="X37" s="15" t="n"/>
      <c r="Y37" s="15" t="n"/>
      <c r="Z37" s="15" t="n"/>
      <c r="AA37" s="15" t="n"/>
      <c r="AB37" s="15" t="n"/>
    </row>
    <row r="38" ht="24.75" customHeight="1">
      <c r="B38" s="39" t="n"/>
      <c r="C38" s="38" t="n"/>
      <c r="D38" s="38" t="n"/>
      <c r="E38" s="11" t="n"/>
      <c r="F38" s="28" t="n"/>
      <c r="G38" s="12" t="n"/>
      <c r="H38" s="74" t="n"/>
      <c r="I38" s="60" t="n"/>
      <c r="J38" s="4" t="n"/>
      <c r="K38" s="26" t="n"/>
      <c r="L38" s="53" t="n"/>
      <c r="N38" s="113">
        <f t="array" ref="N38">IFERROR(INDEX('Product List'!$A$2:$A$1002,MATCH(0,IF(1='Product List'!$C$2:$C$1002,COUNTIF('Change Request Form'!$N$36:$N37,'Product List'!$A$2:$A$1002),""),0)),"")</f>
        <v/>
      </c>
      <c r="O38" s="2">
        <f>IFERROR(IF(VLOOKUP(N38,'Product List'!A:D,4,FALSE)=1,VLOOKUP(N38,'Product List'!A:B,2,FALSE)&amp;"***",VLOOKUP(N38,'Product List'!A:B,2,FALSE)),"")</f>
        <v/>
      </c>
      <c r="P38" s="17" t="n"/>
      <c r="Q38" s="18" t="n"/>
      <c r="R38" s="15" t="n"/>
      <c r="S38" s="15" t="n"/>
      <c r="T38" s="15" t="n"/>
      <c r="U38" s="15" t="n"/>
      <c r="V38" s="15" t="n"/>
      <c r="W38" s="15" t="n"/>
      <c r="X38" s="15" t="n"/>
      <c r="Y38" s="15" t="n"/>
      <c r="Z38" s="15" t="n"/>
      <c r="AA38" s="15" t="n"/>
      <c r="AB38" s="15" t="n"/>
    </row>
    <row r="39" ht="21" customHeight="1">
      <c r="B39" s="39" t="n"/>
      <c r="C39" s="38" t="n"/>
      <c r="D39" s="38" t="n"/>
      <c r="E39" s="11" t="n"/>
      <c r="F39" s="28" t="n"/>
      <c r="G39" s="12" t="n"/>
      <c r="H39" s="74" t="n"/>
      <c r="I39" s="60" t="n"/>
      <c r="J39" s="4" t="n"/>
      <c r="K39" s="26" t="n"/>
      <c r="L39" s="53" t="n"/>
      <c r="N39" s="113">
        <f t="array" ref="N39">IFERROR(INDEX('Product List'!$A$2:$A$1002,MATCH(0,IF(1='Product List'!$C$2:$C$1002,COUNTIF('Change Request Form'!$N$36:$N38,'Product List'!$A$2:$A$1002),""),0)),"")</f>
        <v/>
      </c>
      <c r="O39" s="2">
        <f>IFERROR(IF(VLOOKUP(N39,'Product List'!A:D,4,FALSE)=1,VLOOKUP(N39,'Product List'!A:B,2,FALSE)&amp;"***",VLOOKUP(N39,'Product List'!A:B,2,FALSE)),"")</f>
        <v/>
      </c>
      <c r="P39" s="17" t="n"/>
      <c r="Q39" s="18" t="n"/>
      <c r="R39" s="15" t="n"/>
      <c r="S39" s="15" t="n"/>
      <c r="T39" s="15" t="n"/>
      <c r="U39" s="15" t="n"/>
      <c r="V39" s="15" t="n"/>
      <c r="W39" s="15" t="n"/>
      <c r="X39" s="15" t="n"/>
      <c r="Y39" s="15" t="n"/>
      <c r="Z39" s="15" t="n"/>
      <c r="AA39" s="15" t="n"/>
      <c r="AB39" s="15" t="n"/>
    </row>
    <row r="40" ht="21" customHeight="1">
      <c r="B40" s="39" t="n"/>
      <c r="C40" s="38" t="n"/>
      <c r="D40" s="38" t="n"/>
      <c r="E40" s="11" t="n"/>
      <c r="F40" s="28" t="n"/>
      <c r="G40" s="12" t="n"/>
      <c r="H40" s="74" t="n"/>
      <c r="I40" s="60" t="n"/>
      <c r="J40" s="4" t="n"/>
      <c r="K40" s="26" t="n"/>
      <c r="L40" s="53" t="n"/>
      <c r="N40" s="113">
        <f t="array" ref="N40">IFERROR(INDEX('Product List'!$A$2:$A$1002,MATCH(0,IF(1='Product List'!$C$2:$C$1002,COUNTIF('Change Request Form'!$N$36:$N39,'Product List'!$A$2:$A$1002),""),0)),"")</f>
        <v/>
      </c>
      <c r="O40" s="2">
        <f>IFERROR(IF(VLOOKUP(N40,'Product List'!A:D,4,FALSE)=1,VLOOKUP(N40,'Product List'!A:B,2,FALSE)&amp;"***",VLOOKUP(N40,'Product List'!A:B,2,FALSE)),"")</f>
        <v/>
      </c>
      <c r="P40" s="17" t="n"/>
      <c r="Q40" s="18" t="n"/>
      <c r="R40" s="15" t="n"/>
      <c r="S40" s="15" t="n"/>
      <c r="T40" s="15" t="n"/>
      <c r="U40" s="15" t="n"/>
      <c r="V40" s="15" t="n"/>
      <c r="W40" s="15" t="n"/>
      <c r="X40" s="15" t="n"/>
      <c r="Y40" s="15" t="n"/>
      <c r="Z40" s="15" t="n"/>
      <c r="AA40" s="15" t="n"/>
      <c r="AB40" s="15" t="n"/>
    </row>
    <row r="41" ht="21" customHeight="1">
      <c r="B41" s="39" t="n"/>
      <c r="C41" s="38" t="n"/>
      <c r="D41" s="38" t="n"/>
      <c r="E41" s="11" t="n"/>
      <c r="F41" s="28" t="n"/>
      <c r="G41" s="12" t="n"/>
      <c r="H41" s="74" t="n"/>
      <c r="I41" s="60" t="n"/>
      <c r="J41" s="4" t="n"/>
      <c r="K41" s="26" t="n"/>
      <c r="L41" s="53" t="n"/>
      <c r="N41" s="113">
        <f t="array" ref="N41">IFERROR(INDEX('Product List'!$A$2:$A$1002,MATCH(0,IF(1='Product List'!$C$2:$C$1002,COUNTIF('Change Request Form'!$N$36:$N40,'Product List'!$A$2:$A$1002),""),0)),"")</f>
        <v/>
      </c>
      <c r="O41" s="2">
        <f>IFERROR(IF(VLOOKUP(N41,'Product List'!A:D,4,FALSE)=1,VLOOKUP(N41,'Product List'!A:B,2,FALSE)&amp;"***",VLOOKUP(N41,'Product List'!A:B,2,FALSE)),"")</f>
        <v/>
      </c>
      <c r="P41" s="17" t="n"/>
      <c r="Q41" s="17" t="n"/>
    </row>
    <row r="42" ht="21" customHeight="1">
      <c r="B42" s="39" t="n"/>
      <c r="C42" s="38" t="n"/>
      <c r="D42" s="38" t="n"/>
      <c r="E42" s="11" t="n"/>
      <c r="F42" s="28" t="n"/>
      <c r="G42" s="12" t="n"/>
      <c r="H42" s="74" t="n"/>
      <c r="I42" s="60" t="n"/>
      <c r="J42" s="4" t="n"/>
      <c r="K42" s="26" t="n"/>
      <c r="L42" s="53" t="n"/>
      <c r="N42" s="113">
        <f t="array" ref="N42">IFERROR(INDEX('Product List'!$A$2:$A$1002,MATCH(0,IF(1='Product List'!$C$2:$C$1002,COUNTIF('Change Request Form'!$N$36:$N41,'Product List'!$A$2:$A$1002),""),0)),"")</f>
        <v/>
      </c>
      <c r="O42" s="2">
        <f>IFERROR(IF(VLOOKUP(N42,'Product List'!A:D,4,FALSE)=1,VLOOKUP(N42,'Product List'!A:B,2,FALSE)&amp;"***",VLOOKUP(N42,'Product List'!A:B,2,FALSE)),"")</f>
        <v/>
      </c>
      <c r="P42" s="17" t="n"/>
      <c r="Q42" s="17" t="n"/>
    </row>
    <row r="43" ht="21" customHeight="1">
      <c r="B43" s="39" t="n"/>
      <c r="C43" s="38" t="n"/>
      <c r="D43" s="88" t="n"/>
      <c r="E43" s="29" t="n"/>
      <c r="F43" s="30" t="n"/>
      <c r="G43" s="31" t="n"/>
      <c r="H43" s="75" t="n"/>
      <c r="I43" s="61" t="n"/>
      <c r="J43" s="32" t="n"/>
      <c r="K43" s="33" t="n"/>
      <c r="L43" s="53" t="n"/>
      <c r="N43" s="113">
        <f t="array" ref="N43">IFERROR(INDEX('Product List'!$A$2:$A$1002,MATCH(0,IF(1='Product List'!$C$2:$C$1002,COUNTIF('Change Request Form'!$N$36:$N42,'Product List'!$A$2:$A$1002),""),0)),"")</f>
        <v/>
      </c>
      <c r="O43" s="2">
        <f>IFERROR(IF(VLOOKUP(N43,'Product List'!A:D,4,FALSE)=1,VLOOKUP(N43,'Product List'!A:B,2,FALSE)&amp;"***",VLOOKUP(N43,'Product List'!A:B,2,FALSE)),"")</f>
        <v/>
      </c>
      <c r="P43" s="17" t="n"/>
      <c r="Q43" s="17" t="n"/>
    </row>
    <row r="44" ht="21" customHeight="1">
      <c r="B44" s="39" t="n"/>
      <c r="C44" s="38" t="n"/>
      <c r="D44" s="38" t="n"/>
      <c r="E44" s="11" t="n"/>
      <c r="F44" s="28" t="n"/>
      <c r="G44" s="12" t="n"/>
      <c r="H44" s="74" t="n"/>
      <c r="I44" s="60" t="n"/>
      <c r="J44" s="4" t="n"/>
      <c r="K44" s="26" t="n"/>
      <c r="L44" s="53" t="n"/>
      <c r="N44" s="113">
        <f t="array" ref="N44">IFERROR(INDEX('Product List'!$A$2:$A$1002,MATCH(0,IF(1='Product List'!$C$2:$C$1002,COUNTIF('Change Request Form'!$N$36:$N43,'Product List'!$A$2:$A$1002),""),0)),"")</f>
        <v/>
      </c>
      <c r="O44" s="2">
        <f>IFERROR(IF(VLOOKUP(N44,'Product List'!A:D,4,FALSE)=1,VLOOKUP(N44,'Product List'!A:B,2,FALSE)&amp;"***",VLOOKUP(N44,'Product List'!A:B,2,FALSE)),"")</f>
        <v/>
      </c>
      <c r="P44" s="17" t="n"/>
      <c r="Q44" s="17" t="n"/>
    </row>
    <row r="45" ht="21" customHeight="1">
      <c r="B45" s="39" t="n"/>
      <c r="C45" s="38" t="n"/>
      <c r="D45" s="38" t="n"/>
      <c r="E45" s="11" t="n"/>
      <c r="F45" s="28" t="n"/>
      <c r="G45" s="12" t="n"/>
      <c r="H45" s="74" t="n"/>
      <c r="I45" s="60" t="n"/>
      <c r="J45" s="4" t="n"/>
      <c r="K45" s="26" t="n"/>
      <c r="L45" s="53" t="n"/>
      <c r="N45" s="113">
        <f t="array" ref="N45">IFERROR(INDEX('Product List'!$A$2:$A$1002,MATCH(0,IF(1='Product List'!$C$2:$C$1002,COUNTIF('Change Request Form'!$N$36:$N44,'Product List'!$A$2:$A$1002),""),0)),"")</f>
        <v/>
      </c>
      <c r="O45" s="2">
        <f>IFERROR(IF(VLOOKUP(N45,'Product List'!A:D,4,FALSE)=1,VLOOKUP(N45,'Product List'!A:B,2,FALSE)&amp;"***",VLOOKUP(N45,'Product List'!A:B,2,FALSE)),"")</f>
        <v/>
      </c>
      <c r="P45" s="17" t="n"/>
      <c r="Q45" s="17" t="n"/>
    </row>
    <row r="46" ht="21" customHeight="1">
      <c r="B46" s="39" t="n"/>
      <c r="C46" s="38" t="n"/>
      <c r="D46" s="88" t="n"/>
      <c r="E46" s="29" t="n"/>
      <c r="F46" s="30" t="n"/>
      <c r="G46" s="31" t="n"/>
      <c r="H46" s="75" t="n"/>
      <c r="I46" s="61" t="n"/>
      <c r="J46" s="32" t="n"/>
      <c r="K46" s="33" t="n"/>
      <c r="L46" s="53" t="n"/>
      <c r="N46" s="113">
        <f t="array" ref="N46">IFERROR(INDEX('Product List'!$A$2:$A$1002,MATCH(0,IF(1='Product List'!$C$2:$C$1002,COUNTIF('Change Request Form'!$N$36:$N45,'Product List'!$A$2:$A$1002),""),0)),"")</f>
        <v/>
      </c>
      <c r="O46" s="2">
        <f>IFERROR(IF(VLOOKUP(N46,'Product List'!A:D,4,FALSE)=1,VLOOKUP(N46,'Product List'!A:B,2,FALSE)&amp;"***",VLOOKUP(N46,'Product List'!A:B,2,FALSE)),"")</f>
        <v/>
      </c>
      <c r="P46" s="17" t="n"/>
      <c r="Q46" s="17" t="n"/>
    </row>
    <row r="47" ht="21" customHeight="1">
      <c r="B47" s="39" t="n"/>
      <c r="C47" s="38" t="n"/>
      <c r="D47" s="38" t="n"/>
      <c r="E47" s="11" t="n"/>
      <c r="F47" s="28" t="n"/>
      <c r="G47" s="12" t="n"/>
      <c r="H47" s="74" t="n"/>
      <c r="I47" s="60" t="n"/>
      <c r="J47" s="4" t="n"/>
      <c r="K47" s="26" t="n"/>
      <c r="L47" s="53" t="n"/>
      <c r="N47" s="113">
        <f t="array" ref="N47">IFERROR(INDEX('Product List'!$A$2:$A$1002,MATCH(0,IF(1='Product List'!$C$2:$C$1002,COUNTIF('Change Request Form'!$N$36:$N46,'Product List'!$A$2:$A$1002),""),0)),"")</f>
        <v/>
      </c>
      <c r="O47" s="2">
        <f>IFERROR(IF(VLOOKUP(N47,'Product List'!A:D,4,FALSE)=1,VLOOKUP(N47,'Product List'!A:B,2,FALSE)&amp;"***",VLOOKUP(N47,'Product List'!A:B,2,FALSE)),"")</f>
        <v/>
      </c>
      <c r="P47" s="17" t="n"/>
      <c r="Q47" s="17" t="n"/>
    </row>
    <row r="48" ht="21" customHeight="1">
      <c r="B48" s="39" t="n"/>
      <c r="C48" s="38" t="n"/>
      <c r="D48" s="38" t="n"/>
      <c r="E48" s="11" t="n"/>
      <c r="F48" s="28" t="n"/>
      <c r="G48" s="12" t="n"/>
      <c r="H48" s="74" t="n"/>
      <c r="I48" s="60" t="n"/>
      <c r="J48" s="4" t="n"/>
      <c r="K48" s="26" t="n"/>
      <c r="L48" s="53" t="n"/>
      <c r="N48" s="113">
        <f t="array" ref="N48">IFERROR(INDEX('Product List'!$A$2:$A$1002,MATCH(0,IF(1='Product List'!$C$2:$C$1002,COUNTIF('Change Request Form'!$N$36:$N47,'Product List'!$A$2:$A$1002),""),0)),"")</f>
        <v/>
      </c>
      <c r="O48" s="2">
        <f>IFERROR(IF(VLOOKUP(N48,'Product List'!A:D,4,FALSE)=1,VLOOKUP(N48,'Product List'!A:B,2,FALSE)&amp;"***",VLOOKUP(N48,'Product List'!A:B,2,FALSE)),"")</f>
        <v/>
      </c>
      <c r="P48" s="17" t="n"/>
      <c r="Q48" s="17" t="n"/>
    </row>
    <row r="49" ht="21" customHeight="1">
      <c r="B49" s="39" t="n"/>
      <c r="C49" s="38" t="n"/>
      <c r="D49" s="38" t="n"/>
      <c r="E49" s="11" t="n"/>
      <c r="F49" s="28" t="n"/>
      <c r="G49" s="12" t="n"/>
      <c r="H49" s="74" t="n"/>
      <c r="I49" s="60" t="n"/>
      <c r="J49" s="4" t="n"/>
      <c r="K49" s="26" t="n"/>
      <c r="L49" s="53" t="n"/>
      <c r="N49" s="113">
        <f t="array" ref="N49">IFERROR(INDEX('Product List'!$A$2:$A$1002,MATCH(0,IF(1='Product List'!$C$2:$C$1002,COUNTIF('Change Request Form'!$N$36:$N48,'Product List'!$A$2:$A$1002),""),0)),"")</f>
        <v/>
      </c>
      <c r="O49" s="2">
        <f>IFERROR(IF(VLOOKUP(N49,'Product List'!A:D,4,FALSE)=1,VLOOKUP(N49,'Product List'!A:B,2,FALSE)&amp;"***",VLOOKUP(N49,'Product List'!A:B,2,FALSE)),"")</f>
        <v/>
      </c>
      <c r="P49" s="17" t="n"/>
      <c r="Q49" s="17" t="n"/>
    </row>
    <row r="50" ht="21" customHeight="1">
      <c r="B50" s="39" t="n"/>
      <c r="C50" s="38" t="n"/>
      <c r="D50" s="38" t="n"/>
      <c r="E50" s="11" t="n"/>
      <c r="F50" s="28" t="n"/>
      <c r="G50" s="12" t="n"/>
      <c r="H50" s="74" t="n"/>
      <c r="I50" s="60" t="n"/>
      <c r="J50" s="4" t="n"/>
      <c r="K50" s="26" t="n"/>
      <c r="L50" s="53" t="n"/>
      <c r="N50" s="113">
        <f t="array" ref="N50">IFERROR(INDEX('Product List'!$A$2:$A$1002,MATCH(0,IF(1='Product List'!$C$2:$C$1002,COUNTIF('Change Request Form'!$N$36:$N49,'Product List'!$A$2:$A$1002),""),0)),"")</f>
        <v/>
      </c>
      <c r="O50" s="2">
        <f>IFERROR(IF(VLOOKUP(N50,'Product List'!A:D,4,FALSE)=1,VLOOKUP(N50,'Product List'!A:B,2,FALSE)&amp;"***",VLOOKUP(N50,'Product List'!A:B,2,FALSE)),"")</f>
        <v/>
      </c>
      <c r="P50" s="17" t="n"/>
      <c r="Q50" s="17" t="n"/>
    </row>
    <row r="51" ht="21" customHeight="1">
      <c r="B51" s="39" t="n"/>
      <c r="C51" s="38" t="n"/>
      <c r="D51" s="38" t="n"/>
      <c r="E51" s="11" t="n"/>
      <c r="F51" s="28" t="n"/>
      <c r="G51" s="12" t="n"/>
      <c r="H51" s="74" t="n"/>
      <c r="I51" s="60" t="n"/>
      <c r="J51" s="4" t="n"/>
      <c r="K51" s="26" t="n"/>
      <c r="L51" s="53" t="n"/>
      <c r="N51" s="113">
        <f t="array" ref="N51">IFERROR(INDEX('Product List'!$A$2:$A$1002,MATCH(0,IF(1='Product List'!$C$2:$C$1002,COUNTIF('Change Request Form'!$N$36:$N50,'Product List'!$A$2:$A$1002),""),0)),"")</f>
        <v/>
      </c>
      <c r="O51" s="2">
        <f>IFERROR(IF(VLOOKUP(N51,'Product List'!A:D,4,FALSE)=1,VLOOKUP(N51,'Product List'!A:B,2,FALSE)&amp;"***",VLOOKUP(N51,'Product List'!A:B,2,FALSE)),"")</f>
        <v/>
      </c>
      <c r="P51" s="17" t="n"/>
      <c r="Q51" s="17" t="n"/>
    </row>
    <row r="52" ht="21" customHeight="1">
      <c r="B52" s="39" t="n"/>
      <c r="C52" s="38" t="n"/>
      <c r="D52" s="38" t="n"/>
      <c r="E52" s="11" t="n"/>
      <c r="F52" s="28" t="n"/>
      <c r="G52" s="12" t="n"/>
      <c r="H52" s="74" t="n"/>
      <c r="I52" s="60" t="n"/>
      <c r="J52" s="4" t="n"/>
      <c r="K52" s="26" t="n"/>
      <c r="L52" s="53" t="n"/>
      <c r="N52" s="113">
        <f t="array" ref="N52">IFERROR(INDEX('Product List'!$A$2:$A$1002,MATCH(0,IF(1='Product List'!$C$2:$C$1002,COUNTIF('Change Request Form'!$N$36:$N51,'Product List'!$A$2:$A$1002),""),0)),"")</f>
        <v/>
      </c>
      <c r="O52" s="2">
        <f>IFERROR(IF(VLOOKUP(N52,'Product List'!A:D,4,FALSE)=1,VLOOKUP(N52,'Product List'!A:B,2,FALSE)&amp;"***",VLOOKUP(N52,'Product List'!A:B,2,FALSE)),"")</f>
        <v/>
      </c>
      <c r="P52" s="17" t="n"/>
      <c r="Q52" s="17" t="n"/>
    </row>
    <row r="53" ht="21" customHeight="1">
      <c r="B53" s="39" t="n"/>
      <c r="C53" s="38" t="n"/>
      <c r="D53" s="38" t="n"/>
      <c r="E53" s="11" t="n"/>
      <c r="F53" s="28" t="n"/>
      <c r="G53" s="12" t="n"/>
      <c r="H53" s="74" t="n"/>
      <c r="I53" s="60" t="n"/>
      <c r="J53" s="4" t="n"/>
      <c r="K53" s="26" t="n"/>
      <c r="L53" s="53" t="n"/>
      <c r="N53" s="113">
        <f t="array" ref="N53">IFERROR(INDEX('Product List'!$A$2:$A$1002,MATCH(0,IF(1='Product List'!$C$2:$C$1002,COUNTIF('Change Request Form'!$N$36:$N52,'Product List'!$A$2:$A$1002),""),0)),"")</f>
        <v/>
      </c>
      <c r="O53" s="2">
        <f>IFERROR(IF(VLOOKUP(N53,'Product List'!A:D,4,FALSE)=1,VLOOKUP(N53,'Product List'!A:B,2,FALSE)&amp;"***",VLOOKUP(N53,'Product List'!A:B,2,FALSE)),"")</f>
        <v/>
      </c>
      <c r="P53" s="17" t="n"/>
      <c r="Q53" s="17" t="n"/>
    </row>
    <row r="54" ht="21" customHeight="1">
      <c r="B54" s="39" t="n"/>
      <c r="C54" s="38" t="n"/>
      <c r="D54" s="38" t="n"/>
      <c r="E54" s="11" t="n"/>
      <c r="F54" s="28" t="n"/>
      <c r="G54" s="12" t="n"/>
      <c r="H54" s="74" t="n"/>
      <c r="I54" s="60" t="n"/>
      <c r="J54" s="4" t="n"/>
      <c r="K54" s="26" t="n"/>
      <c r="L54" s="53" t="n"/>
      <c r="N54" s="113">
        <f t="array" ref="N54">IFERROR(INDEX('Product List'!$A$2:$A$1002,MATCH(0,IF(1='Product List'!$C$2:$C$1002,COUNTIF('Change Request Form'!$N$36:$N53,'Product List'!$A$2:$A$1002),""),0)),"")</f>
        <v/>
      </c>
      <c r="O54" s="2">
        <f>IFERROR(IF(VLOOKUP(N54,'Product List'!A:D,4,FALSE)=1,VLOOKUP(N54,'Product List'!A:B,2,FALSE)&amp;"***",VLOOKUP(N54,'Product List'!A:B,2,FALSE)),"")</f>
        <v/>
      </c>
      <c r="P54" s="17" t="n"/>
      <c r="Q54" s="17" t="n"/>
    </row>
    <row r="55" ht="21" customHeight="1">
      <c r="B55" s="39" t="n"/>
      <c r="C55" s="38" t="n"/>
      <c r="D55" s="38" t="n"/>
      <c r="E55" s="11" t="n"/>
      <c r="F55" s="28" t="n"/>
      <c r="G55" s="12" t="n"/>
      <c r="H55" s="74" t="n"/>
      <c r="I55" s="60" t="n"/>
      <c r="J55" s="4" t="n"/>
      <c r="K55" s="26" t="n"/>
      <c r="L55" s="53" t="n"/>
      <c r="N55" s="113">
        <f t="array" ref="N55">IFERROR(INDEX('Product List'!$A$2:$A$1002,MATCH(0,IF(1='Product List'!$C$2:$C$1002,COUNTIF('Change Request Form'!$N$36:$N54,'Product List'!$A$2:$A$1002),""),0)),"")</f>
        <v/>
      </c>
      <c r="O55" s="2">
        <f>IFERROR(IF(VLOOKUP(N55,'Product List'!A:D,4,FALSE)=1,VLOOKUP(N55,'Product List'!A:B,2,FALSE)&amp;"***",VLOOKUP(N55,'Product List'!A:B,2,FALSE)),"")</f>
        <v/>
      </c>
      <c r="P55" s="17" t="n"/>
      <c r="Q55" s="17" t="n"/>
    </row>
    <row r="56" ht="21" customHeight="1">
      <c r="B56" s="39" t="n"/>
      <c r="C56" s="38" t="n"/>
      <c r="D56" s="38" t="n"/>
      <c r="E56" s="11" t="n"/>
      <c r="F56" s="28" t="n"/>
      <c r="G56" s="12" t="n"/>
      <c r="H56" s="74" t="n"/>
      <c r="I56" s="60" t="n"/>
      <c r="J56" s="4" t="n"/>
      <c r="K56" s="26" t="n"/>
      <c r="L56" s="53" t="n"/>
      <c r="N56" s="113">
        <f t="array" ref="N56">IFERROR(INDEX('Product List'!$A$2:$A$1002,MATCH(0,IF(1='Product List'!$C$2:$C$1002,COUNTIF('Change Request Form'!$N$36:$N55,'Product List'!$A$2:$A$1002),""),0)),"")</f>
        <v/>
      </c>
      <c r="O56" s="2">
        <f>IFERROR(IF(VLOOKUP(N56,'Product List'!A:D,4,FALSE)=1,VLOOKUP(N56,'Product List'!A:B,2,FALSE)&amp;"***",VLOOKUP(N56,'Product List'!A:B,2,FALSE)),"")</f>
        <v/>
      </c>
      <c r="P56" s="17" t="n"/>
      <c r="Q56" s="17" t="n"/>
    </row>
    <row r="57" ht="21" customHeight="1">
      <c r="B57" s="39" t="n"/>
      <c r="C57" s="38" t="n"/>
      <c r="D57" s="38" t="n"/>
      <c r="E57" s="11" t="n"/>
      <c r="F57" s="28" t="n"/>
      <c r="G57" s="12" t="n"/>
      <c r="H57" s="74" t="n"/>
      <c r="I57" s="60" t="n"/>
      <c r="J57" s="4" t="n"/>
      <c r="K57" s="26" t="n"/>
      <c r="L57" s="53" t="n"/>
      <c r="N57" s="113">
        <f t="array" ref="N57">IFERROR(INDEX('Product List'!$A$2:$A$1002,MATCH(0,IF(1='Product List'!$C$2:$C$1002,COUNTIF('Change Request Form'!$N$36:$N56,'Product List'!$A$2:$A$1002),""),0)),"")</f>
        <v/>
      </c>
      <c r="O57" s="2">
        <f>IFERROR(IF(VLOOKUP(N57,'Product List'!A:D,4,FALSE)=1,VLOOKUP(N57,'Product List'!A:B,2,FALSE)&amp;"***",VLOOKUP(N57,'Product List'!A:B,2,FALSE)),"")</f>
        <v/>
      </c>
      <c r="P57" s="17" t="n"/>
      <c r="Q57" s="17" t="n"/>
    </row>
    <row r="58" ht="21" customHeight="1">
      <c r="B58" s="39" t="n"/>
      <c r="C58" s="38" t="n"/>
      <c r="D58" s="38" t="n"/>
      <c r="E58" s="11" t="n"/>
      <c r="F58" s="28" t="n"/>
      <c r="G58" s="12" t="n"/>
      <c r="H58" s="74" t="n"/>
      <c r="I58" s="60" t="n"/>
      <c r="J58" s="4" t="n"/>
      <c r="K58" s="26" t="n"/>
      <c r="L58" s="53" t="n"/>
      <c r="N58" s="113">
        <f t="array" ref="N58">IFERROR(INDEX('Product List'!$A$2:$A$1002,MATCH(0,IF(1='Product List'!$C$2:$C$1002,COUNTIF('Change Request Form'!$N$36:$N57,'Product List'!$A$2:$A$1002),""),0)),"")</f>
        <v/>
      </c>
      <c r="O58" s="2">
        <f>IFERROR(IF(VLOOKUP(N58,'Product List'!A:D,4,FALSE)=1,VLOOKUP(N58,'Product List'!A:B,2,FALSE)&amp;"***",VLOOKUP(N58,'Product List'!A:B,2,FALSE)),"")</f>
        <v/>
      </c>
      <c r="P58" s="17" t="n"/>
      <c r="Q58" s="17" t="n"/>
    </row>
    <row r="59" ht="21" customHeight="1">
      <c r="B59" s="39" t="n"/>
      <c r="C59" s="38" t="n"/>
      <c r="D59" s="38" t="n"/>
      <c r="E59" s="11" t="n"/>
      <c r="F59" s="28" t="n"/>
      <c r="G59" s="12" t="n"/>
      <c r="H59" s="74" t="n"/>
      <c r="I59" s="60" t="n"/>
      <c r="J59" s="4" t="n"/>
      <c r="K59" s="26" t="n"/>
      <c r="L59" s="53" t="n"/>
      <c r="N59" s="113">
        <f t="array" ref="N59">IFERROR(INDEX('Product List'!$A$2:$A$1002,MATCH(0,IF(1='Product List'!$C$2:$C$1002,COUNTIF('Change Request Form'!$N$36:$N58,'Product List'!$A$2:$A$1002),""),0)),"")</f>
        <v/>
      </c>
      <c r="O59" s="2">
        <f>IFERROR(IF(VLOOKUP(N59,'Product List'!A:D,4,FALSE)=1,VLOOKUP(N59,'Product List'!A:B,2,FALSE)&amp;"***",VLOOKUP(N59,'Product List'!A:B,2,FALSE)),"")</f>
        <v/>
      </c>
      <c r="P59" s="17" t="n"/>
      <c r="Q59" s="17" t="n"/>
    </row>
    <row r="60" ht="21" customHeight="1">
      <c r="B60" s="39" t="n"/>
      <c r="C60" s="38" t="n"/>
      <c r="D60" s="38" t="n"/>
      <c r="E60" s="11" t="n"/>
      <c r="F60" s="28" t="n"/>
      <c r="G60" s="12" t="n"/>
      <c r="H60" s="74" t="n"/>
      <c r="I60" s="60" t="n"/>
      <c r="J60" s="4" t="n"/>
      <c r="K60" s="26" t="n"/>
      <c r="L60" s="53" t="n"/>
      <c r="N60" s="113">
        <f t="array" ref="N60">IFERROR(INDEX('Product List'!$A$2:$A$1002,MATCH(0,IF(1='Product List'!$C$2:$C$1002,COUNTIF('Change Request Form'!$N$36:$N59,'Product List'!$A$2:$A$1002),""),0)),"")</f>
        <v/>
      </c>
      <c r="O60" s="2">
        <f>IFERROR(IF(VLOOKUP(N60,'Product List'!A:D,4,FALSE)=1,VLOOKUP(N60,'Product List'!A:B,2,FALSE)&amp;"***",VLOOKUP(N60,'Product List'!A:B,2,FALSE)),"")</f>
        <v/>
      </c>
      <c r="P60" s="17" t="n"/>
      <c r="Q60" s="17" t="n"/>
    </row>
    <row r="61" ht="21" customHeight="1">
      <c r="B61" s="39" t="n"/>
      <c r="C61" s="38" t="n"/>
      <c r="D61" s="38" t="n"/>
      <c r="E61" s="11" t="n"/>
      <c r="F61" s="28" t="n"/>
      <c r="G61" s="12" t="n"/>
      <c r="H61" s="74" t="n"/>
      <c r="I61" s="60" t="n"/>
      <c r="J61" s="4" t="n"/>
      <c r="K61" s="26" t="n"/>
      <c r="L61" s="53" t="n"/>
      <c r="N61" s="113">
        <f t="array" ref="N61">IFERROR(INDEX('Product List'!$A$2:$A$1002,MATCH(0,IF(1='Product List'!$C$2:$C$1002,COUNTIF('Change Request Form'!$N$36:$N60,'Product List'!$A$2:$A$1002),""),0)),"")</f>
        <v/>
      </c>
      <c r="O61" s="2">
        <f>IFERROR(IF(VLOOKUP(N61,'Product List'!A:D,4,FALSE)=1,VLOOKUP(N61,'Product List'!A:B,2,FALSE)&amp;"***",VLOOKUP(N61,'Product List'!A:B,2,FALSE)),"")</f>
        <v/>
      </c>
      <c r="P61" s="17" t="n"/>
      <c r="Q61" s="17" t="n"/>
    </row>
    <row r="62" ht="21" customHeight="1">
      <c r="B62" s="39" t="n"/>
      <c r="C62" s="38" t="n"/>
      <c r="D62" s="38" t="n"/>
      <c r="E62" s="11" t="n"/>
      <c r="F62" s="28" t="n"/>
      <c r="G62" s="12" t="n"/>
      <c r="H62" s="74" t="n"/>
      <c r="I62" s="60" t="n"/>
      <c r="J62" s="4" t="n"/>
      <c r="K62" s="26" t="n"/>
      <c r="L62" s="53" t="n"/>
      <c r="N62" s="113">
        <f t="array" ref="N62">IFERROR(INDEX('Product List'!$A$2:$A$1002,MATCH(0,IF(1='Product List'!$C$2:$C$1002,COUNTIF('Change Request Form'!$N$36:$N61,'Product List'!$A$2:$A$1002),""),0)),"")</f>
        <v/>
      </c>
      <c r="O62" s="2">
        <f>IFERROR(IF(VLOOKUP(N62,'Product List'!A:D,4,FALSE)=1,VLOOKUP(N62,'Product List'!A:B,2,FALSE)&amp;"***",VLOOKUP(N62,'Product List'!A:B,2,FALSE)),"")</f>
        <v/>
      </c>
      <c r="P62" s="17" t="n"/>
      <c r="Q62" s="17" t="n"/>
    </row>
    <row r="63" ht="21" customHeight="1">
      <c r="B63" s="39" t="n"/>
      <c r="C63" s="38" t="n"/>
      <c r="D63" s="38" t="n"/>
      <c r="E63" s="11" t="n"/>
      <c r="F63" s="28" t="n"/>
      <c r="G63" s="12" t="n"/>
      <c r="H63" s="74" t="n"/>
      <c r="I63" s="60" t="n"/>
      <c r="J63" s="4" t="n"/>
      <c r="K63" s="26" t="n"/>
      <c r="L63" s="53" t="n"/>
      <c r="N63" s="113">
        <f t="array" ref="N63">IFERROR(INDEX('Product List'!$A$2:$A$1002,MATCH(0,IF(1='Product List'!$C$2:$C$1002,COUNTIF('Change Request Form'!$N$36:$N62,'Product List'!$A$2:$A$1002),""),0)),"")</f>
        <v/>
      </c>
      <c r="O63" s="2">
        <f>IFERROR(IF(VLOOKUP(N63,'Product List'!A:D,4,FALSE)=1,VLOOKUP(N63,'Product List'!A:B,2,FALSE)&amp;"***",VLOOKUP(N63,'Product List'!A:B,2,FALSE)),"")</f>
        <v/>
      </c>
      <c r="P63" s="17" t="n"/>
      <c r="Q63" s="17" t="n"/>
    </row>
    <row r="64" ht="21" customHeight="1">
      <c r="B64" s="39" t="n"/>
      <c r="C64" s="38" t="n"/>
      <c r="D64" s="38" t="n"/>
      <c r="E64" s="11" t="n"/>
      <c r="F64" s="28" t="n"/>
      <c r="G64" s="12" t="n"/>
      <c r="H64" s="74" t="n"/>
      <c r="I64" s="60" t="n"/>
      <c r="J64" s="4" t="n"/>
      <c r="K64" s="26" t="n"/>
      <c r="L64" s="53" t="n"/>
      <c r="N64" s="113">
        <f t="array" ref="N64">IFERROR(INDEX('Product List'!$A$2:$A$1002,MATCH(0,IF(1='Product List'!$C$2:$C$1002,COUNTIF('Change Request Form'!$N$36:$N63,'Product List'!$A$2:$A$1002),""),0)),"")</f>
        <v/>
      </c>
      <c r="O64" s="2">
        <f>IFERROR(IF(VLOOKUP(N64,'Product List'!A:D,4,FALSE)=1,VLOOKUP(N64,'Product List'!A:B,2,FALSE)&amp;"***",VLOOKUP(N64,'Product List'!A:B,2,FALSE)),"")</f>
        <v/>
      </c>
      <c r="P64" s="17" t="n"/>
      <c r="Q64" s="17" t="n"/>
    </row>
    <row r="65" ht="21" customHeight="1">
      <c r="B65" s="39" t="n"/>
      <c r="C65" s="38" t="n"/>
      <c r="D65" s="38" t="n"/>
      <c r="E65" s="11" t="n"/>
      <c r="F65" s="28" t="n"/>
      <c r="G65" s="12" t="n"/>
      <c r="H65" s="74" t="n"/>
      <c r="I65" s="60" t="n"/>
      <c r="J65" s="4" t="n"/>
      <c r="K65" s="26" t="n"/>
      <c r="L65" s="53" t="n"/>
      <c r="N65" s="113">
        <f t="array" ref="N65">IFERROR(INDEX('Product List'!$A$2:$A$1002,MATCH(0,IF(1='Product List'!$C$2:$C$1002,COUNTIF('Change Request Form'!$N$36:$N64,'Product List'!$A$2:$A$1002),""),0)),"")</f>
        <v/>
      </c>
      <c r="O65" s="2">
        <f>IFERROR(IF(VLOOKUP(N65,'Product List'!A:D,4,FALSE)=1,VLOOKUP(N65,'Product List'!A:B,2,FALSE)&amp;"***",VLOOKUP(N65,'Product List'!A:B,2,FALSE)),"")</f>
        <v/>
      </c>
      <c r="P65" s="17" t="n"/>
      <c r="Q65" s="17" t="n"/>
    </row>
    <row r="66" ht="21" customHeight="1">
      <c r="B66" s="39" t="n"/>
      <c r="C66" s="38" t="n"/>
      <c r="D66" s="38" t="n"/>
      <c r="E66" s="11" t="n"/>
      <c r="F66" s="28" t="n"/>
      <c r="G66" s="12" t="n"/>
      <c r="H66" s="74" t="n"/>
      <c r="I66" s="60" t="n"/>
      <c r="J66" s="4" t="n"/>
      <c r="K66" s="26" t="n"/>
      <c r="L66" s="53" t="n"/>
      <c r="N66" s="113">
        <f t="array" ref="N66">IFERROR(INDEX('Product List'!$A$2:$A$1002,MATCH(0,IF(1='Product List'!$C$2:$C$1002,COUNTIF('Change Request Form'!$N$36:$N65,'Product List'!$A$2:$A$1002),""),0)),"")</f>
        <v/>
      </c>
      <c r="O66" s="2">
        <f>IFERROR(IF(VLOOKUP(N66,'Product List'!A:D,4,FALSE)=1,VLOOKUP(N66,'Product List'!A:B,2,FALSE)&amp;"***",VLOOKUP(N66,'Product List'!A:B,2,FALSE)),"")</f>
        <v/>
      </c>
      <c r="P66" s="17" t="n"/>
      <c r="Q66" s="17" t="n"/>
    </row>
    <row r="67" ht="21" customHeight="1">
      <c r="B67" s="39" t="n"/>
      <c r="C67" s="38" t="n"/>
      <c r="D67" s="38" t="n"/>
      <c r="E67" s="11" t="n"/>
      <c r="F67" s="28" t="n"/>
      <c r="G67" s="12" t="n"/>
      <c r="H67" s="74" t="n"/>
      <c r="I67" s="60" t="n"/>
      <c r="J67" s="4" t="n"/>
      <c r="K67" s="26" t="n"/>
      <c r="L67" s="53" t="n"/>
      <c r="N67" s="113">
        <f t="array" ref="N67">IFERROR(INDEX('Product List'!$A$2:$A$1002,MATCH(0,IF(1='Product List'!$C$2:$C$1002,COUNTIF('Change Request Form'!$N$36:$N66,'Product List'!$A$2:$A$1002),""),0)),"")</f>
        <v/>
      </c>
      <c r="O67" s="2">
        <f>IFERROR(IF(VLOOKUP(N67,'Product List'!A:D,4,FALSE)=1,VLOOKUP(N67,'Product List'!A:B,2,FALSE)&amp;"***",VLOOKUP(N67,'Product List'!A:B,2,FALSE)),"")</f>
        <v/>
      </c>
      <c r="P67" s="17" t="n"/>
      <c r="Q67" s="17" t="n"/>
    </row>
    <row r="68" ht="21" customHeight="1">
      <c r="B68" s="39" t="n"/>
      <c r="C68" s="38" t="n"/>
      <c r="D68" s="38" t="n"/>
      <c r="E68" s="11" t="n"/>
      <c r="F68" s="28" t="n"/>
      <c r="G68" s="12" t="n"/>
      <c r="H68" s="74" t="n"/>
      <c r="I68" s="60" t="n"/>
      <c r="J68" s="4" t="n"/>
      <c r="K68" s="26" t="n"/>
      <c r="L68" s="53" t="n"/>
      <c r="N68" s="113">
        <f t="array" ref="N68">IFERROR(INDEX('Product List'!$A$2:$A$1002,MATCH(0,IF(1='Product List'!$C$2:$C$1002,COUNTIF('Change Request Form'!$N$36:$N67,'Product List'!$A$2:$A$1002),""),0)),"")</f>
        <v/>
      </c>
      <c r="O68" s="2">
        <f>IFERROR(IF(VLOOKUP(N68,'Product List'!A:D,4,FALSE)=1,VLOOKUP(N68,'Product List'!A:B,2,FALSE)&amp;"***",VLOOKUP(N68,'Product List'!A:B,2,FALSE)),"")</f>
        <v/>
      </c>
      <c r="P68" s="17" t="n"/>
      <c r="Q68" s="17" t="n"/>
    </row>
    <row r="69" ht="21" customHeight="1">
      <c r="B69" s="39" t="n"/>
      <c r="C69" s="38" t="n"/>
      <c r="D69" s="38" t="n"/>
      <c r="E69" s="11" t="n"/>
      <c r="F69" s="28" t="n"/>
      <c r="G69" s="12" t="n"/>
      <c r="H69" s="74" t="n"/>
      <c r="I69" s="60" t="n"/>
      <c r="J69" s="4" t="n"/>
      <c r="K69" s="26" t="n"/>
      <c r="L69" s="53" t="n"/>
      <c r="N69" s="113">
        <f t="array" ref="N69">IFERROR(INDEX('Product List'!$A$2:$A$1002,MATCH(0,IF(1='Product List'!$C$2:$C$1002,COUNTIF('Change Request Form'!$N$36:$N68,'Product List'!$A$2:$A$1002),""),0)),"")</f>
        <v/>
      </c>
      <c r="O69" s="2">
        <f>IFERROR(IF(VLOOKUP(N69,'Product List'!A:D,4,FALSE)=1,VLOOKUP(N69,'Product List'!A:B,2,FALSE)&amp;"***",VLOOKUP(N69,'Product List'!A:B,2,FALSE)),"")</f>
        <v/>
      </c>
      <c r="P69" s="17" t="n"/>
      <c r="Q69" s="17" t="n"/>
    </row>
    <row r="70" ht="21" customHeight="1">
      <c r="B70" s="39" t="n"/>
      <c r="C70" s="38" t="n"/>
      <c r="D70" s="38" t="n"/>
      <c r="E70" s="11" t="n"/>
      <c r="F70" s="28" t="n"/>
      <c r="G70" s="12" t="n"/>
      <c r="H70" s="74" t="n"/>
      <c r="I70" s="60" t="n"/>
      <c r="J70" s="4" t="n"/>
      <c r="K70" s="26" t="n"/>
      <c r="L70" s="53" t="n"/>
      <c r="N70" s="113">
        <f t="array" ref="N70">IFERROR(INDEX('Product List'!$A$2:$A$1002,MATCH(0,IF(1='Product List'!$C$2:$C$1002,COUNTIF('Change Request Form'!$N$36:$N69,'Product List'!$A$2:$A$1002),""),0)),"")</f>
        <v/>
      </c>
      <c r="O70" s="2">
        <f>IFERROR(IF(VLOOKUP(N70,'Product List'!A:D,4,FALSE)=1,VLOOKUP(N70,'Product List'!A:B,2,FALSE)&amp;"***",VLOOKUP(N70,'Product List'!A:B,2,FALSE)),"")</f>
        <v/>
      </c>
      <c r="P70" s="17" t="n"/>
      <c r="Q70" s="17" t="n"/>
    </row>
    <row r="71" ht="21" customHeight="1">
      <c r="B71" s="39" t="n"/>
      <c r="C71" s="38" t="n"/>
      <c r="D71" s="38" t="n"/>
      <c r="E71" s="11" t="n"/>
      <c r="F71" s="28" t="n"/>
      <c r="G71" s="12" t="n"/>
      <c r="H71" s="74" t="n"/>
      <c r="I71" s="60" t="n"/>
      <c r="J71" s="4" t="n"/>
      <c r="K71" s="26" t="n"/>
      <c r="L71" s="53" t="n"/>
      <c r="N71" s="113">
        <f t="array" ref="N71">IFERROR(INDEX('Product List'!$A$2:$A$1002,MATCH(0,IF(1='Product List'!$C$2:$C$1002,COUNTIF('Change Request Form'!$N$36:$N70,'Product List'!$A$2:$A$1002),""),0)),"")</f>
        <v/>
      </c>
      <c r="O71" s="2">
        <f>IFERROR(IF(VLOOKUP(N71,'Product List'!A:D,4,FALSE)=1,VLOOKUP(N71,'Product List'!A:B,2,FALSE)&amp;"***",VLOOKUP(N71,'Product List'!A:B,2,FALSE)),"")</f>
        <v/>
      </c>
      <c r="P71" s="17" t="n"/>
      <c r="Q71" s="17" t="n"/>
    </row>
    <row r="72" ht="21" customHeight="1">
      <c r="B72" s="39" t="n"/>
      <c r="C72" s="38" t="n"/>
      <c r="D72" s="38" t="n"/>
      <c r="E72" s="11" t="n"/>
      <c r="F72" s="28" t="n"/>
      <c r="G72" s="12" t="n"/>
      <c r="H72" s="74" t="n"/>
      <c r="I72" s="60" t="n"/>
      <c r="J72" s="4" t="n"/>
      <c r="K72" s="26" t="n"/>
      <c r="L72" s="53" t="n"/>
      <c r="N72" s="113">
        <f t="array" ref="N72">IFERROR(INDEX('Product List'!$A$2:$A$1002,MATCH(0,IF(1='Product List'!$C$2:$C$1002,COUNTIF('Change Request Form'!$N$36:$N71,'Product List'!$A$2:$A$1002),""),0)),"")</f>
        <v/>
      </c>
      <c r="O72" s="2">
        <f>IFERROR(IF(VLOOKUP(N72,'Product List'!A:D,4,FALSE)=1,VLOOKUP(N72,'Product List'!A:B,2,FALSE)&amp;"***",VLOOKUP(N72,'Product List'!A:B,2,FALSE)),"")</f>
        <v/>
      </c>
      <c r="P72" s="17" t="n"/>
      <c r="Q72" s="17" t="n"/>
    </row>
    <row r="73" ht="21" customHeight="1">
      <c r="B73" s="39" t="n"/>
      <c r="C73" s="38" t="n"/>
      <c r="D73" s="38" t="n"/>
      <c r="E73" s="11" t="n"/>
      <c r="F73" s="28" t="n"/>
      <c r="G73" s="12" t="n"/>
      <c r="H73" s="74" t="n"/>
      <c r="I73" s="60" t="n"/>
      <c r="J73" s="4" t="n"/>
      <c r="K73" s="26" t="n"/>
      <c r="L73" s="53" t="n"/>
      <c r="N73" s="113">
        <f t="array" ref="N73">IFERROR(INDEX('Product List'!$A$2:$A$1002,MATCH(0,IF(1='Product List'!$C$2:$C$1002,COUNTIF('Change Request Form'!$N$36:$N72,'Product List'!$A$2:$A$1002),""),0)),"")</f>
        <v/>
      </c>
      <c r="O73" s="2">
        <f>IFERROR(IF(VLOOKUP(N73,'Product List'!A:D,4,FALSE)=1,VLOOKUP(N73,'Product List'!A:B,2,FALSE)&amp;"***",VLOOKUP(N73,'Product List'!A:B,2,FALSE)),"")</f>
        <v/>
      </c>
      <c r="P73" s="17" t="n"/>
      <c r="Q73" s="17" t="n"/>
    </row>
    <row r="74" ht="21" customHeight="1">
      <c r="B74" s="39" t="n"/>
      <c r="C74" s="38" t="n"/>
      <c r="D74" s="38" t="n"/>
      <c r="E74" s="11" t="n"/>
      <c r="F74" s="28" t="n"/>
      <c r="G74" s="12" t="n"/>
      <c r="H74" s="74" t="n"/>
      <c r="I74" s="60" t="n"/>
      <c r="J74" s="4" t="n"/>
      <c r="K74" s="26" t="n"/>
      <c r="L74" s="53" t="n"/>
      <c r="N74" s="113">
        <f t="array" ref="N74">IFERROR(INDEX('Product List'!$A$2:$A$1002,MATCH(0,IF(1='Product List'!$C$2:$C$1002,COUNTIF('Change Request Form'!$N$36:$N73,'Product List'!$A$2:$A$1002),""),0)),"")</f>
        <v/>
      </c>
      <c r="O74" s="2">
        <f>IFERROR(IF(VLOOKUP(N74,'Product List'!A:D,4,FALSE)=1,VLOOKUP(N74,'Product List'!A:B,2,FALSE)&amp;"***",VLOOKUP(N74,'Product List'!A:B,2,FALSE)),"")</f>
        <v/>
      </c>
      <c r="P74" s="17" t="n"/>
      <c r="Q74" s="17" t="n"/>
    </row>
    <row r="75" ht="21" customHeight="1">
      <c r="B75" s="39" t="n"/>
      <c r="C75" s="38" t="n"/>
      <c r="D75" s="38" t="n"/>
      <c r="E75" s="11" t="n"/>
      <c r="F75" s="28" t="n"/>
      <c r="G75" s="12" t="n"/>
      <c r="H75" s="74" t="n"/>
      <c r="I75" s="60" t="n"/>
      <c r="J75" s="4" t="n"/>
      <c r="K75" s="26" t="n"/>
      <c r="L75" s="53" t="n"/>
      <c r="N75" s="113">
        <f t="array" ref="N75">IFERROR(INDEX('Product List'!$A$2:$A$1002,MATCH(0,IF(1='Product List'!$C$2:$C$1002,COUNTIF('Change Request Form'!$N$36:$N74,'Product List'!$A$2:$A$1002),""),0)),"")</f>
        <v/>
      </c>
      <c r="O75" s="2">
        <f>IFERROR(IF(VLOOKUP(N75,'Product List'!A:D,4,FALSE)=1,VLOOKUP(N75,'Product List'!A:B,2,FALSE)&amp;"***",VLOOKUP(N75,'Product List'!A:B,2,FALSE)),"")</f>
        <v/>
      </c>
      <c r="P75" s="17" t="n"/>
      <c r="Q75" s="17" t="n"/>
    </row>
    <row r="76" ht="21" customHeight="1">
      <c r="B76" s="39" t="n"/>
      <c r="C76" s="38" t="n"/>
      <c r="D76" s="38" t="n"/>
      <c r="E76" s="11" t="n"/>
      <c r="F76" s="28" t="n"/>
      <c r="G76" s="12" t="n"/>
      <c r="H76" s="74" t="n"/>
      <c r="I76" s="60" t="n"/>
      <c r="J76" s="4" t="n"/>
      <c r="K76" s="26" t="n"/>
      <c r="L76" s="53" t="n"/>
      <c r="N76" s="113">
        <f t="array" ref="N76">IFERROR(INDEX('Product List'!$A$2:$A$1002,MATCH(0,IF(1='Product List'!$C$2:$C$1002,COUNTIF('Change Request Form'!$N$36:$N75,'Product List'!$A$2:$A$1002),""),0)),"")</f>
        <v/>
      </c>
      <c r="O76" s="2">
        <f>IFERROR(IF(VLOOKUP(N76,'Product List'!A:D,4,FALSE)=1,VLOOKUP(N76,'Product List'!A:B,2,FALSE)&amp;"***",VLOOKUP(N76,'Product List'!A:B,2,FALSE)),"")</f>
        <v/>
      </c>
      <c r="P76" s="17" t="n"/>
      <c r="Q76" s="17" t="n"/>
    </row>
    <row r="77" ht="21" customHeight="1">
      <c r="B77" s="39" t="n"/>
      <c r="C77" s="38" t="n"/>
      <c r="D77" s="38" t="n"/>
      <c r="E77" s="11" t="n"/>
      <c r="F77" s="28" t="n"/>
      <c r="G77" s="12" t="n"/>
      <c r="H77" s="74" t="n"/>
      <c r="I77" s="60" t="n"/>
      <c r="J77" s="4" t="n"/>
      <c r="K77" s="26" t="n"/>
      <c r="L77" s="53" t="n"/>
      <c r="N77" s="113">
        <f t="array" ref="N77">IFERROR(INDEX('Product List'!$A$2:$A$1002,MATCH(0,IF(1='Product List'!$C$2:$C$1002,COUNTIF('Change Request Form'!$N$36:$N76,'Product List'!$A$2:$A$1002),""),0)),"")</f>
        <v/>
      </c>
      <c r="O77" s="2">
        <f>IFERROR(IF(VLOOKUP(N77,'Product List'!A:D,4,FALSE)=1,VLOOKUP(N77,'Product List'!A:B,2,FALSE)&amp;"***",VLOOKUP(N77,'Product List'!A:B,2,FALSE)),"")</f>
        <v/>
      </c>
      <c r="P77" s="17" t="n"/>
      <c r="Q77" s="17" t="n"/>
    </row>
    <row r="78" ht="21" customHeight="1">
      <c r="B78" s="39" t="n"/>
      <c r="C78" s="38" t="n"/>
      <c r="D78" s="38" t="n"/>
      <c r="E78" s="11" t="n"/>
      <c r="F78" s="28" t="n"/>
      <c r="G78" s="12" t="n"/>
      <c r="H78" s="74" t="n"/>
      <c r="I78" s="60" t="n"/>
      <c r="J78" s="4" t="n"/>
      <c r="K78" s="26" t="n"/>
      <c r="L78" s="53" t="n"/>
      <c r="N78" s="113">
        <f t="array" ref="N78">IFERROR(INDEX('Product List'!$A$2:$A$1002,MATCH(0,IF(1='Product List'!$C$2:$C$1002,COUNTIF('Change Request Form'!$N$36:$N77,'Product List'!$A$2:$A$1002),""),0)),"")</f>
        <v/>
      </c>
      <c r="O78" s="2">
        <f>IFERROR(IF(VLOOKUP(N78,'Product List'!A:D,4,FALSE)=1,VLOOKUP(N78,'Product List'!A:B,2,FALSE)&amp;"***",VLOOKUP(N78,'Product List'!A:B,2,FALSE)),"")</f>
        <v/>
      </c>
      <c r="P78" s="17" t="n"/>
      <c r="Q78" s="17" t="n"/>
    </row>
    <row r="79" ht="21" customHeight="1">
      <c r="B79" s="39" t="n"/>
      <c r="C79" s="38" t="n"/>
      <c r="D79" s="38" t="n"/>
      <c r="E79" s="11" t="n"/>
      <c r="F79" s="28" t="n"/>
      <c r="G79" s="12" t="n"/>
      <c r="H79" s="74" t="n"/>
      <c r="I79" s="60" t="n"/>
      <c r="J79" s="4" t="n"/>
      <c r="K79" s="26" t="n"/>
      <c r="L79" s="53" t="n"/>
      <c r="N79" s="113">
        <f t="array" ref="N79">IFERROR(INDEX('Product List'!$A$2:$A$1002,MATCH(0,IF(1='Product List'!$C$2:$C$1002,COUNTIF('Change Request Form'!$N$36:$N78,'Product List'!$A$2:$A$1002),""),0)),"")</f>
        <v/>
      </c>
      <c r="O79" s="2">
        <f>IFERROR(IF(VLOOKUP(N79,'Product List'!A:D,4,FALSE)=1,VLOOKUP(N79,'Product List'!A:B,2,FALSE)&amp;"***",VLOOKUP(N79,'Product List'!A:B,2,FALSE)),"")</f>
        <v/>
      </c>
      <c r="P79" s="17" t="n"/>
      <c r="Q79" s="17" t="n"/>
    </row>
    <row r="80" ht="21" customHeight="1">
      <c r="B80" s="39" t="n"/>
      <c r="C80" s="38" t="n"/>
      <c r="D80" s="38" t="n"/>
      <c r="E80" s="11" t="n"/>
      <c r="F80" s="28" t="n"/>
      <c r="G80" s="12" t="n"/>
      <c r="H80" s="74" t="n"/>
      <c r="I80" s="60" t="n"/>
      <c r="J80" s="4" t="n"/>
      <c r="K80" s="26" t="n"/>
      <c r="L80" s="53" t="n"/>
      <c r="N80" s="113">
        <f t="array" ref="N80">IFERROR(INDEX('Product List'!$A$2:$A$1002,MATCH(0,IF(1='Product List'!$C$2:$C$1002,COUNTIF('Change Request Form'!$N$36:$N79,'Product List'!$A$2:$A$1002),""),0)),"")</f>
        <v/>
      </c>
      <c r="O80" s="2">
        <f>IFERROR(IF(VLOOKUP(N80,'Product List'!A:D,4,FALSE)=1,VLOOKUP(N80,'Product List'!A:B,2,FALSE)&amp;"***",VLOOKUP(N80,'Product List'!A:B,2,FALSE)),"")</f>
        <v/>
      </c>
      <c r="P80" s="17" t="n"/>
      <c r="Q80" s="17" t="n"/>
    </row>
    <row r="81" ht="21" customHeight="1">
      <c r="B81" s="39" t="n"/>
      <c r="C81" s="38" t="n"/>
      <c r="D81" s="38" t="n"/>
      <c r="E81" s="11" t="n"/>
      <c r="F81" s="28" t="n"/>
      <c r="G81" s="12" t="n"/>
      <c r="H81" s="74" t="n"/>
      <c r="I81" s="60" t="n"/>
      <c r="J81" s="4" t="n"/>
      <c r="K81" s="26" t="n"/>
      <c r="L81" s="53" t="n"/>
      <c r="N81" s="113">
        <f t="array" ref="N81">IFERROR(INDEX('Product List'!$A$2:$A$1002,MATCH(0,IF(1='Product List'!$C$2:$C$1002,COUNTIF('Change Request Form'!$N$36:$N80,'Product List'!$A$2:$A$1002),""),0)),"")</f>
        <v/>
      </c>
      <c r="O81" s="2">
        <f>IFERROR(IF(VLOOKUP(N81,'Product List'!A:D,4,FALSE)=1,VLOOKUP(N81,'Product List'!A:B,2,FALSE)&amp;"***",VLOOKUP(N81,'Product List'!A:B,2,FALSE)),"")</f>
        <v/>
      </c>
      <c r="P81" s="17" t="n"/>
      <c r="Q81" s="17" t="n"/>
    </row>
    <row r="82" ht="21" customHeight="1">
      <c r="B82" s="39" t="n"/>
      <c r="C82" s="38" t="n"/>
      <c r="D82" s="38" t="n"/>
      <c r="E82" s="11" t="n"/>
      <c r="F82" s="28" t="n"/>
      <c r="G82" s="12" t="n"/>
      <c r="H82" s="74" t="n"/>
      <c r="I82" s="60" t="n"/>
      <c r="J82" s="4" t="n"/>
      <c r="K82" s="26" t="n"/>
      <c r="L82" s="53" t="n"/>
      <c r="N82" s="113">
        <f t="array" ref="N82">IFERROR(INDEX('Product List'!$A$2:$A$1002,MATCH(0,IF(1='Product List'!$C$2:$C$1002,COUNTIF('Change Request Form'!$N$36:$N81,'Product List'!$A$2:$A$1002),""),0)),"")</f>
        <v/>
      </c>
      <c r="O82" s="2">
        <f>IFERROR(IF(VLOOKUP(N82,'Product List'!A:D,4,FALSE)=1,VLOOKUP(N82,'Product List'!A:B,2,FALSE)&amp;"***",VLOOKUP(N82,'Product List'!A:B,2,FALSE)),"")</f>
        <v/>
      </c>
      <c r="P82" s="17" t="n"/>
      <c r="Q82" s="17" t="n"/>
    </row>
    <row r="83" ht="21" customHeight="1">
      <c r="B83" s="39" t="n"/>
      <c r="C83" s="38" t="n"/>
      <c r="D83" s="38" t="n"/>
      <c r="E83" s="11" t="n"/>
      <c r="F83" s="28" t="n"/>
      <c r="G83" s="12" t="n"/>
      <c r="H83" s="74" t="n"/>
      <c r="I83" s="60" t="n"/>
      <c r="J83" s="4" t="n"/>
      <c r="K83" s="26" t="n"/>
      <c r="L83" s="53" t="n"/>
      <c r="N83" s="113">
        <f t="array" ref="N83">IFERROR(INDEX('Product List'!$A$2:$A$1002,MATCH(0,IF(1='Product List'!$C$2:$C$1002,COUNTIF('Change Request Form'!$N$36:$N82,'Product List'!$A$2:$A$1002),""),0)),"")</f>
        <v/>
      </c>
      <c r="O83" s="2">
        <f>IFERROR(IF(VLOOKUP(N83,'Product List'!A:D,4,FALSE)=1,VLOOKUP(N83,'Product List'!A:B,2,FALSE)&amp;"***",VLOOKUP(N83,'Product List'!A:B,2,FALSE)),"")</f>
        <v/>
      </c>
      <c r="P83" s="17" t="n"/>
      <c r="Q83" s="17" t="n"/>
    </row>
    <row r="84" ht="21" customHeight="1">
      <c r="B84" s="39" t="n"/>
      <c r="C84" s="38" t="n"/>
      <c r="D84" s="38" t="n"/>
      <c r="E84" s="11" t="n"/>
      <c r="F84" s="28" t="n"/>
      <c r="G84" s="12" t="n"/>
      <c r="H84" s="74" t="n"/>
      <c r="I84" s="60" t="n"/>
      <c r="J84" s="4" t="n"/>
      <c r="K84" s="26" t="n"/>
      <c r="L84" s="53" t="n"/>
      <c r="N84" s="113">
        <f t="array" ref="N84">IFERROR(INDEX('Product List'!$A$2:$A$1002,MATCH(0,IF(1='Product List'!$C$2:$C$1002,COUNTIF('Change Request Form'!$N$36:$N83,'Product List'!$A$2:$A$1002),""),0)),"")</f>
        <v/>
      </c>
      <c r="O84" s="2">
        <f>IFERROR(IF(VLOOKUP(N84,'Product List'!A:D,4,FALSE)=1,VLOOKUP(N84,'Product List'!A:B,2,FALSE)&amp;"***",VLOOKUP(N84,'Product List'!A:B,2,FALSE)),"")</f>
        <v/>
      </c>
      <c r="P84" s="17" t="n"/>
      <c r="Q84" s="17" t="n"/>
    </row>
    <row r="85" ht="21" customHeight="1">
      <c r="B85" s="39" t="n"/>
      <c r="C85" s="38" t="n"/>
      <c r="D85" s="38" t="n"/>
      <c r="E85" s="11" t="n"/>
      <c r="F85" s="28" t="n"/>
      <c r="G85" s="12" t="n"/>
      <c r="H85" s="74" t="n"/>
      <c r="I85" s="60" t="n"/>
      <c r="J85" s="4" t="n"/>
      <c r="K85" s="26" t="n"/>
      <c r="L85" s="53" t="n"/>
      <c r="N85" s="113">
        <f t="array" ref="N85">IFERROR(INDEX('Product List'!$A$2:$A$1002,MATCH(0,IF(1='Product List'!$C$2:$C$1002,COUNTIF('Change Request Form'!$N$36:$N84,'Product List'!$A$2:$A$1002),""),0)),"")</f>
        <v/>
      </c>
      <c r="O85" s="2">
        <f>IFERROR(IF(VLOOKUP(N85,'Product List'!A:D,4,FALSE)=1,VLOOKUP(N85,'Product List'!A:B,2,FALSE)&amp;"***",VLOOKUP(N85,'Product List'!A:B,2,FALSE)),"")</f>
        <v/>
      </c>
      <c r="P85" s="17" t="n"/>
      <c r="Q85" s="17" t="n"/>
    </row>
    <row r="86" ht="21" customHeight="1">
      <c r="B86" s="39" t="n"/>
      <c r="C86" s="38" t="n"/>
      <c r="D86" s="38" t="n"/>
      <c r="E86" s="11" t="n"/>
      <c r="F86" s="28" t="n"/>
      <c r="G86" s="12" t="n"/>
      <c r="H86" s="74" t="n"/>
      <c r="I86" s="60" t="n"/>
      <c r="J86" s="4" t="n"/>
      <c r="K86" s="26" t="n"/>
      <c r="L86" s="53" t="n"/>
      <c r="N86" s="113">
        <f t="array" ref="N86">IFERROR(INDEX('Product List'!$A$2:$A$1002,MATCH(0,IF(1='Product List'!$C$2:$C$1002,COUNTIF('Change Request Form'!$N$36:$N85,'Product List'!$A$2:$A$1002),""),0)),"")</f>
        <v/>
      </c>
      <c r="O86" s="2">
        <f>IFERROR(IF(VLOOKUP(N86,'Product List'!A:D,4,FALSE)=1,VLOOKUP(N86,'Product List'!A:B,2,FALSE)&amp;"***",VLOOKUP(N86,'Product List'!A:B,2,FALSE)),"")</f>
        <v/>
      </c>
      <c r="P86" s="17" t="n"/>
      <c r="Q86" s="17" t="n"/>
    </row>
    <row r="87" ht="21" customHeight="1">
      <c r="B87" s="39" t="n"/>
      <c r="C87" s="38" t="n"/>
      <c r="D87" s="38" t="n"/>
      <c r="E87" s="11" t="n"/>
      <c r="F87" s="28" t="n"/>
      <c r="G87" s="12" t="n"/>
      <c r="H87" s="74" t="n"/>
      <c r="I87" s="60" t="n"/>
      <c r="J87" s="4" t="n"/>
      <c r="K87" s="26" t="n"/>
      <c r="L87" s="53" t="n"/>
      <c r="N87" s="113">
        <f t="array" ref="N87">IFERROR(INDEX('Product List'!$A$2:$A$1002,MATCH(0,IF(1='Product List'!$C$2:$C$1002,COUNTIF('Change Request Form'!$N$36:$N86,'Product List'!$A$2:$A$1002),""),0)),"")</f>
        <v/>
      </c>
      <c r="O87" s="2">
        <f>IFERROR(IF(VLOOKUP(N87,'Product List'!A:D,4,FALSE)=1,VLOOKUP(N87,'Product List'!A:B,2,FALSE)&amp;"***",VLOOKUP(N87,'Product List'!A:B,2,FALSE)),"")</f>
        <v/>
      </c>
      <c r="P87" s="17" t="n"/>
      <c r="Q87" s="17" t="n"/>
    </row>
    <row r="88" ht="21" customHeight="1">
      <c r="B88" s="39" t="n"/>
      <c r="C88" s="38" t="n"/>
      <c r="D88" s="38" t="n"/>
      <c r="E88" s="11" t="n"/>
      <c r="F88" s="28" t="n"/>
      <c r="G88" s="12" t="n"/>
      <c r="H88" s="74" t="n"/>
      <c r="I88" s="60" t="n"/>
      <c r="J88" s="4" t="n"/>
      <c r="K88" s="26" t="n"/>
      <c r="L88" s="53" t="n"/>
      <c r="N88" s="113">
        <f t="array" ref="N88">IFERROR(INDEX('Product List'!$A$2:$A$1002,MATCH(0,IF(1='Product List'!$C$2:$C$1002,COUNTIF('Change Request Form'!$N$36:$N87,'Product List'!$A$2:$A$1002),""),0)),"")</f>
        <v/>
      </c>
      <c r="O88" s="2">
        <f>IFERROR(IF(VLOOKUP(N88,'Product List'!A:D,4,FALSE)=1,VLOOKUP(N88,'Product List'!A:B,2,FALSE)&amp;"***",VLOOKUP(N88,'Product List'!A:B,2,FALSE)),"")</f>
        <v/>
      </c>
      <c r="P88" s="17" t="n"/>
      <c r="Q88" s="17" t="n"/>
    </row>
    <row r="89" ht="21" customHeight="1">
      <c r="B89" s="39" t="n"/>
      <c r="C89" s="38" t="n"/>
      <c r="D89" s="38" t="n"/>
      <c r="E89" s="11" t="n"/>
      <c r="F89" s="28" t="n"/>
      <c r="G89" s="12" t="n"/>
      <c r="H89" s="74" t="n"/>
      <c r="I89" s="60" t="n"/>
      <c r="J89" s="4" t="n"/>
      <c r="K89" s="26" t="n"/>
      <c r="L89" s="53" t="n"/>
      <c r="N89" s="113">
        <f t="array" ref="N89">IFERROR(INDEX('Product List'!$A$2:$A$1002,MATCH(0,IF(1='Product List'!$C$2:$C$1002,COUNTIF('Change Request Form'!$N$36:$N88,'Product List'!$A$2:$A$1002),""),0)),"")</f>
        <v/>
      </c>
      <c r="O89" s="2">
        <f>IFERROR(IF(VLOOKUP(N89,'Product List'!A:D,4,FALSE)=1,VLOOKUP(N89,'Product List'!A:B,2,FALSE)&amp;"***",VLOOKUP(N89,'Product List'!A:B,2,FALSE)),"")</f>
        <v/>
      </c>
      <c r="P89" s="17" t="n"/>
      <c r="Q89" s="17" t="n"/>
    </row>
    <row r="90" ht="21" customHeight="1">
      <c r="B90" s="39" t="n"/>
      <c r="C90" s="38" t="n"/>
      <c r="D90" s="38" t="n"/>
      <c r="E90" s="11" t="n"/>
      <c r="F90" s="28" t="n"/>
      <c r="G90" s="12" t="n"/>
      <c r="H90" s="74" t="n"/>
      <c r="I90" s="60" t="n"/>
      <c r="J90" s="4" t="n"/>
      <c r="K90" s="26" t="n"/>
      <c r="L90" s="53" t="n"/>
      <c r="N90" s="113">
        <f t="array" ref="N90">IFERROR(INDEX('Product List'!$A$2:$A$1002,MATCH(0,IF(1='Product List'!$C$2:$C$1002,COUNTIF('Change Request Form'!$N$36:$N89,'Product List'!$A$2:$A$1002),""),0)),"")</f>
        <v/>
      </c>
      <c r="O90" s="2">
        <f>IFERROR(IF(VLOOKUP(N90,'Product List'!A:D,4,FALSE)=1,VLOOKUP(N90,'Product List'!A:B,2,FALSE)&amp;"***",VLOOKUP(N90,'Product List'!A:B,2,FALSE)),"")</f>
        <v/>
      </c>
      <c r="P90" s="17" t="n"/>
      <c r="Q90" s="17" t="n"/>
    </row>
    <row r="91" ht="21" customHeight="1">
      <c r="B91" s="39" t="n"/>
      <c r="C91" s="38" t="n"/>
      <c r="D91" s="38" t="n"/>
      <c r="E91" s="11" t="n"/>
      <c r="F91" s="28" t="n"/>
      <c r="G91" s="12" t="n"/>
      <c r="H91" s="74" t="n"/>
      <c r="I91" s="60" t="n"/>
      <c r="J91" s="4" t="n"/>
      <c r="K91" s="26" t="n"/>
      <c r="L91" s="53" t="n"/>
      <c r="N91" s="113">
        <f t="array" ref="N91">IFERROR(INDEX('Product List'!$A$2:$A$1002,MATCH(0,IF(1='Product List'!$C$2:$C$1002,COUNTIF('Change Request Form'!$N$36:$N90,'Product List'!$A$2:$A$1002),""),0)),"")</f>
        <v/>
      </c>
      <c r="O91" s="2">
        <f>IFERROR(IF(VLOOKUP(N91,'Product List'!A:D,4,FALSE)=1,VLOOKUP(N91,'Product List'!A:B,2,FALSE)&amp;"***",VLOOKUP(N91,'Product List'!A:B,2,FALSE)),"")</f>
        <v/>
      </c>
      <c r="P91" s="17" t="n"/>
      <c r="Q91" s="17" t="n"/>
    </row>
    <row r="92" ht="21" customHeight="1">
      <c r="B92" s="39" t="n"/>
      <c r="C92" s="38" t="n"/>
      <c r="D92" s="38" t="n"/>
      <c r="E92" s="11" t="n"/>
      <c r="F92" s="28" t="n"/>
      <c r="G92" s="12" t="n"/>
      <c r="H92" s="74" t="n"/>
      <c r="I92" s="60" t="n"/>
      <c r="J92" s="4" t="n"/>
      <c r="K92" s="26" t="n"/>
      <c r="L92" s="53" t="n"/>
      <c r="N92" s="113">
        <f t="array" ref="N92">IFERROR(INDEX('Product List'!$A$2:$A$1002,MATCH(0,IF(1='Product List'!$C$2:$C$1002,COUNTIF('Change Request Form'!$N$36:$N91,'Product List'!$A$2:$A$1002),""),0)),"")</f>
        <v/>
      </c>
      <c r="O92" s="2">
        <f>IFERROR(IF(VLOOKUP(N92,'Product List'!A:D,4,FALSE)=1,VLOOKUP(N92,'Product List'!A:B,2,FALSE)&amp;"***",VLOOKUP(N92,'Product List'!A:B,2,FALSE)),"")</f>
        <v/>
      </c>
      <c r="P92" s="17" t="n"/>
      <c r="Q92" s="17" t="n"/>
    </row>
    <row r="93" ht="21" customHeight="1">
      <c r="B93" s="39" t="n"/>
      <c r="C93" s="38" t="n"/>
      <c r="D93" s="38" t="n"/>
      <c r="E93" s="11" t="n"/>
      <c r="F93" s="28" t="n"/>
      <c r="G93" s="12" t="n"/>
      <c r="H93" s="74" t="n"/>
      <c r="I93" s="60" t="n"/>
      <c r="J93" s="4" t="n"/>
      <c r="K93" s="26" t="n"/>
      <c r="L93" s="53" t="n"/>
      <c r="N93" s="113">
        <f t="array" ref="N93">IFERROR(INDEX('Product List'!$A$2:$A$1002,MATCH(0,IF(1='Product List'!$C$2:$C$1002,COUNTIF('Change Request Form'!$N$36:$N92,'Product List'!$A$2:$A$1002),""),0)),"")</f>
        <v/>
      </c>
      <c r="O93" s="2">
        <f>IFERROR(IF(VLOOKUP(N93,'Product List'!A:D,4,FALSE)=1,VLOOKUP(N93,'Product List'!A:B,2,FALSE)&amp;"***",VLOOKUP(N93,'Product List'!A:B,2,FALSE)),"")</f>
        <v/>
      </c>
      <c r="P93" s="17" t="n"/>
      <c r="Q93" s="17" t="n"/>
    </row>
    <row r="94" ht="21" customHeight="1">
      <c r="B94" s="39" t="n"/>
      <c r="C94" s="38" t="n"/>
      <c r="D94" s="38" t="n"/>
      <c r="E94" s="11" t="n"/>
      <c r="F94" s="28" t="n"/>
      <c r="G94" s="12" t="n"/>
      <c r="H94" s="74" t="n"/>
      <c r="I94" s="60" t="n"/>
      <c r="J94" s="4" t="n"/>
      <c r="K94" s="26" t="n"/>
      <c r="L94" s="53" t="n"/>
      <c r="N94" s="113">
        <f t="array" ref="N94">IFERROR(INDEX('Product List'!$A$2:$A$1002,MATCH(0,IF(1='Product List'!$C$2:$C$1002,COUNTIF('Change Request Form'!$N$36:$N93,'Product List'!$A$2:$A$1002),""),0)),"")</f>
        <v/>
      </c>
      <c r="O94" s="2">
        <f>IFERROR(IF(VLOOKUP(N94,'Product List'!A:D,4,FALSE)=1,VLOOKUP(N94,'Product List'!A:B,2,FALSE)&amp;"***",VLOOKUP(N94,'Product List'!A:B,2,FALSE)),"")</f>
        <v/>
      </c>
      <c r="P94" s="17" t="n"/>
      <c r="Q94" s="17" t="n"/>
    </row>
    <row r="95" ht="21" customHeight="1">
      <c r="B95" s="39" t="n"/>
      <c r="C95" s="38" t="n"/>
      <c r="D95" s="38" t="n"/>
      <c r="E95" s="11" t="n"/>
      <c r="F95" s="28" t="n"/>
      <c r="G95" s="12" t="n"/>
      <c r="H95" s="74" t="n"/>
      <c r="I95" s="60" t="n"/>
      <c r="J95" s="4" t="n"/>
      <c r="K95" s="26" t="n"/>
      <c r="L95" s="53" t="n"/>
      <c r="N95" s="113">
        <f t="array" ref="N95">IFERROR(INDEX('Product List'!$A$2:$A$1002,MATCH(0,IF(1='Product List'!$C$2:$C$1002,COUNTIF('Change Request Form'!$N$36:$N94,'Product List'!$A$2:$A$1002),""),0)),"")</f>
        <v/>
      </c>
      <c r="O95" s="2">
        <f>IFERROR(IF(VLOOKUP(N95,'Product List'!A:D,4,FALSE)=1,VLOOKUP(N95,'Product List'!A:B,2,FALSE)&amp;"***",VLOOKUP(N95,'Product List'!A:B,2,FALSE)),"")</f>
        <v/>
      </c>
      <c r="P95" s="17" t="n"/>
      <c r="Q95" s="17" t="n"/>
    </row>
    <row r="96" ht="21" customHeight="1">
      <c r="B96" s="39" t="n"/>
      <c r="C96" s="38" t="n"/>
      <c r="D96" s="38" t="n"/>
      <c r="E96" s="11" t="n"/>
      <c r="F96" s="28" t="n"/>
      <c r="G96" s="12" t="n"/>
      <c r="H96" s="74" t="n"/>
      <c r="I96" s="60" t="n"/>
      <c r="J96" s="4" t="n"/>
      <c r="K96" s="26" t="n"/>
      <c r="L96" s="53" t="n"/>
      <c r="N96" s="113">
        <f t="array" ref="N96">IFERROR(INDEX('Product List'!$A$2:$A$1002,MATCH(0,IF(1='Product List'!$C$2:$C$1002,COUNTIF('Change Request Form'!$N$36:$N95,'Product List'!$A$2:$A$1002),""),0)),"")</f>
        <v/>
      </c>
      <c r="O96" s="2">
        <f>IFERROR(IF(VLOOKUP(N96,'Product List'!A:D,4,FALSE)=1,VLOOKUP(N96,'Product List'!A:B,2,FALSE)&amp;"***",VLOOKUP(N96,'Product List'!A:B,2,FALSE)),"")</f>
        <v/>
      </c>
      <c r="P96" s="17" t="n"/>
      <c r="Q96" s="17" t="n"/>
    </row>
    <row r="97" ht="21" customHeight="1">
      <c r="B97" s="39" t="n"/>
      <c r="C97" s="38" t="n"/>
      <c r="D97" s="38" t="n"/>
      <c r="E97" s="11" t="n"/>
      <c r="F97" s="28" t="n"/>
      <c r="G97" s="12" t="n"/>
      <c r="H97" s="74" t="n"/>
      <c r="I97" s="60" t="n"/>
      <c r="J97" s="4" t="n"/>
      <c r="K97" s="26" t="n"/>
      <c r="L97" s="53" t="n"/>
      <c r="N97" s="113">
        <f t="array" ref="N97">IFERROR(INDEX('Product List'!$A$2:$A$1002,MATCH(0,IF(1='Product List'!$C$2:$C$1002,COUNTIF('Change Request Form'!$N$36:$N96,'Product List'!$A$2:$A$1002),""),0)),"")</f>
        <v/>
      </c>
      <c r="O97" s="2">
        <f>IFERROR(IF(VLOOKUP(N97,'Product List'!A:D,4,FALSE)=1,VLOOKUP(N97,'Product List'!A:B,2,FALSE)&amp;"***",VLOOKUP(N97,'Product List'!A:B,2,FALSE)),"")</f>
        <v/>
      </c>
      <c r="P97" s="17" t="n"/>
      <c r="Q97" s="17" t="n"/>
    </row>
    <row r="98" ht="22.5" customHeight="1">
      <c r="B98" s="54" t="n"/>
      <c r="C98" s="2" t="inlineStr">
        <is>
          <t>x</t>
        </is>
      </c>
      <c r="E98" s="55" t="n"/>
      <c r="F98" s="55" t="n"/>
      <c r="G98" s="55" t="n"/>
      <c r="H98" s="76" t="inlineStr">
        <is>
          <t>Total</t>
        </is>
      </c>
      <c r="I98" s="62">
        <f>SUM(I32:I97)</f>
        <v/>
      </c>
      <c r="J98" s="13">
        <f>SUM(J32:J97)</f>
        <v/>
      </c>
      <c r="K98" s="13" t="n"/>
      <c r="N98" s="113">
        <f t="array" ref="N98">IFERROR(INDEX('Product List'!$A$2:$A$1002,MATCH(0,IF(1='Product List'!$C$2:$C$1002,COUNTIF('Change Request Form'!$N$36:$N97,'Product List'!$A$2:$A$1002),""),0)),"")</f>
        <v/>
      </c>
      <c r="O98" s="2">
        <f>IFERROR(IF(VLOOKUP(N98,'Product List'!A:D,4,FALSE)=1,VLOOKUP(N98,'Product List'!A:B,2,FALSE)&amp;"***",VLOOKUP(N98,'Product List'!A:B,2,FALSE)),"")</f>
        <v/>
      </c>
      <c r="P98" s="17" t="n"/>
      <c r="Q98" s="17" t="n"/>
    </row>
    <row r="99" ht="14.4" customHeight="1" thickBot="1">
      <c r="B99" s="198" t="inlineStr">
        <is>
          <t>If you have any questions, please contact your Restaurant Planner.</t>
        </is>
      </c>
      <c r="C99" s="199" t="n"/>
      <c r="D99" s="199" t="n"/>
      <c r="E99" s="199" t="n"/>
      <c r="F99" s="199" t="n"/>
      <c r="G99" s="199" t="n"/>
      <c r="H99" s="200" t="n"/>
      <c r="N99" s="113">
        <f t="array" ref="N99">IFERROR(INDEX('Product List'!$A$2:$A$1002,MATCH(0,IF(1='Product List'!$C$2:$C$1002,COUNTIF('Change Request Form'!$N$36:$N98,'Product List'!$A$2:$A$1002),""),0)),"")</f>
        <v/>
      </c>
      <c r="O99" s="2">
        <f>IFERROR(IF(VLOOKUP(N99,'Product List'!A:D,4,FALSE)=1,VLOOKUP(N99,'Product List'!A:B,2,FALSE)&amp;"***",VLOOKUP(N99,'Product List'!A:B,2,FALSE)),"")</f>
        <v/>
      </c>
      <c r="P99" s="17" t="n"/>
      <c r="Q99" s="17" t="n"/>
    </row>
    <row r="100">
      <c r="B100" s="16" t="n"/>
      <c r="N100" s="113">
        <f t="array" ref="N100">IFERROR(INDEX('Product List'!$A$2:$A$1002,MATCH(0,IF(1='Product List'!$C$2:$C$1002,COUNTIF('Change Request Form'!$N$36:$N99,'Product List'!$A$2:$A$1002),""),0)),"")</f>
        <v/>
      </c>
      <c r="O100" s="2">
        <f>IFERROR(IF(VLOOKUP(N100,'Product List'!A:D,4,FALSE)=1,VLOOKUP(N100,'Product List'!A:B,2,FALSE)&amp;"***",VLOOKUP(N100,'Product List'!A:B,2,FALSE)),"")</f>
        <v/>
      </c>
      <c r="P100" s="17" t="n"/>
      <c r="Q100" s="17" t="n"/>
    </row>
    <row r="101">
      <c r="B101" s="166" t="inlineStr">
        <is>
          <t>Version 1.3 - 14 August 2023</t>
        </is>
      </c>
      <c r="N101" s="113">
        <f t="array" ref="N101">IFERROR(INDEX('Product List'!$A$2:$A$1002,MATCH(0,IF(1='Product List'!$C$2:$C$1002,COUNTIF('Change Request Form'!$N$36:$N100,'Product List'!$A$2:$A$1002),""),0)),"")</f>
        <v/>
      </c>
      <c r="O101" s="2">
        <f>IFERROR(IF(VLOOKUP(N101,'Product List'!A:D,4,FALSE)=1,VLOOKUP(N101,'Product List'!A:B,2,FALSE)&amp;"***",VLOOKUP(N101,'Product List'!A:B,2,FALSE)),"")</f>
        <v/>
      </c>
      <c r="P101" s="17" t="n"/>
      <c r="Q101" s="17" t="n"/>
    </row>
    <row r="102">
      <c r="B102" s="16" t="n"/>
      <c r="N102" s="113">
        <f t="array" ref="N102">IFERROR(INDEX('Product List'!$A$2:$A$1002,MATCH(0,IF(1='Product List'!$C$2:$C$1002,COUNTIF('Change Request Form'!$N$36:$N101,'Product List'!$A$2:$A$1002),""),0)),"")</f>
        <v/>
      </c>
      <c r="O102" s="2">
        <f>IFERROR(IF(VLOOKUP(N102,'Product List'!A:D,4,FALSE)=1,VLOOKUP(N102,'Product List'!A:B,2,FALSE)&amp;"***",VLOOKUP(N102,'Product List'!A:B,2,FALSE)),"")</f>
        <v/>
      </c>
      <c r="P102" s="17" t="n"/>
      <c r="Q102" s="17" t="n"/>
    </row>
    <row r="103">
      <c r="B103" s="16" t="n"/>
      <c r="N103" s="113">
        <f t="array" ref="N103">IFERROR(INDEX('Product List'!$A$2:$A$1002,MATCH(0,IF(1='Product List'!$C$2:$C$1002,COUNTIF('Change Request Form'!$N$36:$N102,'Product List'!$A$2:$A$1002),""),0)),"")</f>
        <v/>
      </c>
      <c r="O103" s="2">
        <f>IFERROR(IF(VLOOKUP(N103,'Product List'!A:D,4,FALSE)=1,VLOOKUP(N103,'Product List'!A:B,2,FALSE)&amp;"***",VLOOKUP(N103,'Product List'!A:B,2,FALSE)),"")</f>
        <v/>
      </c>
      <c r="P103" s="17" t="n"/>
      <c r="Q103" s="17" t="n"/>
    </row>
    <row r="104">
      <c r="B104" s="16" t="n"/>
      <c r="N104" s="113">
        <f t="array" ref="N104">IFERROR(INDEX('Product List'!$A$2:$A$1002,MATCH(0,IF(1='Product List'!$C$2:$C$1002,COUNTIF('Change Request Form'!$N$36:$N103,'Product List'!$A$2:$A$1002),""),0)),"")</f>
        <v/>
      </c>
      <c r="O104" s="2">
        <f>IFERROR(IF(VLOOKUP(N104,'Product List'!A:D,4,FALSE)=1,VLOOKUP(N104,'Product List'!A:B,2,FALSE)&amp;"***",VLOOKUP(N104,'Product List'!A:B,2,FALSE)),"")</f>
        <v/>
      </c>
      <c r="P104" s="17" t="n"/>
      <c r="Q104" s="17" t="n"/>
    </row>
    <row r="105">
      <c r="B105" s="16" t="n"/>
      <c r="N105" s="113">
        <f t="array" ref="N105">IFERROR(INDEX('Product List'!$A$2:$A$1002,MATCH(0,IF(1='Product List'!$C$2:$C$1002,COUNTIF('Change Request Form'!$N$36:$N104,'Product List'!$A$2:$A$1002),""),0)),"")</f>
        <v/>
      </c>
      <c r="O105" s="2">
        <f>IFERROR(IF(VLOOKUP(N105,'Product List'!A:D,4,FALSE)=1,VLOOKUP(N105,'Product List'!A:B,2,FALSE)&amp;"***",VLOOKUP(N105,'Product List'!A:B,2,FALSE)),"")</f>
        <v/>
      </c>
      <c r="P105" s="17" t="n"/>
      <c r="Q105" s="17" t="n"/>
    </row>
    <row r="106">
      <c r="B106" s="16" t="n"/>
      <c r="N106" s="113">
        <f t="array" ref="N106">IFERROR(INDEX('Product List'!$A$2:$A$1002,MATCH(0,IF(1='Product List'!$C$2:$C$1002,COUNTIF('Change Request Form'!$N$36:$N105,'Product List'!$A$2:$A$1002),""),0)),"")</f>
        <v/>
      </c>
      <c r="O106" s="2">
        <f>IFERROR(IF(VLOOKUP(N106,'Product List'!A:D,4,FALSE)=1,VLOOKUP(N106,'Product List'!A:B,2,FALSE)&amp;"***",VLOOKUP(N106,'Product List'!A:B,2,FALSE)),"")</f>
        <v/>
      </c>
      <c r="P106" s="17" t="n"/>
      <c r="Q106" s="17" t="n"/>
    </row>
    <row r="107">
      <c r="B107" s="16" t="n"/>
      <c r="N107" s="113">
        <f t="array" ref="N107">IFERROR(INDEX('Product List'!$A$2:$A$1002,MATCH(0,IF(1='Product List'!$C$2:$C$1002,COUNTIF('Change Request Form'!$N$36:$N106,'Product List'!$A$2:$A$1002),""),0)),"")</f>
        <v/>
      </c>
      <c r="O107" s="2">
        <f>IFERROR(IF(VLOOKUP(N107,'Product List'!A:D,4,FALSE)=1,VLOOKUP(N107,'Product List'!A:B,2,FALSE)&amp;"***",VLOOKUP(N107,'Product List'!A:B,2,FALSE)),"")</f>
        <v/>
      </c>
      <c r="P107" s="17" t="n"/>
      <c r="Q107" s="17" t="n"/>
    </row>
    <row r="108">
      <c r="B108" s="16" t="n"/>
      <c r="N108" s="113">
        <f t="array" ref="N108">IFERROR(INDEX('Product List'!$A$2:$A$1002,MATCH(0,IF(1='Product List'!$C$2:$C$1002,COUNTIF('Change Request Form'!$N$36:$N107,'Product List'!$A$2:$A$1002),""),0)),"")</f>
        <v/>
      </c>
      <c r="O108" s="2">
        <f>IFERROR(IF(VLOOKUP(N108,'Product List'!A:D,4,FALSE)=1,VLOOKUP(N108,'Product List'!A:B,2,FALSE)&amp;"***",VLOOKUP(N108,'Product List'!A:B,2,FALSE)),"")</f>
        <v/>
      </c>
      <c r="P108" s="17" t="n"/>
      <c r="Q108" s="17" t="n"/>
    </row>
    <row r="109">
      <c r="B109" s="16" t="n"/>
      <c r="N109" s="113">
        <f t="array" ref="N109">IFERROR(INDEX('Product List'!$A$2:$A$1002,MATCH(0,IF(1='Product List'!$C$2:$C$1002,COUNTIF('Change Request Form'!$N$36:$N108,'Product List'!$A$2:$A$1002),""),0)),"")</f>
        <v/>
      </c>
      <c r="O109" s="2">
        <f>IFERROR(IF(VLOOKUP(N109,'Product List'!A:D,4,FALSE)=1,VLOOKUP(N109,'Product List'!A:B,2,FALSE)&amp;"***",VLOOKUP(N109,'Product List'!A:B,2,FALSE)),"")</f>
        <v/>
      </c>
      <c r="P109" s="17" t="n"/>
      <c r="Q109" s="17" t="n"/>
    </row>
    <row r="110">
      <c r="B110" s="16" t="n"/>
      <c r="N110" s="113">
        <f t="array" ref="N110">IFERROR(INDEX('Product List'!$A$2:$A$1002,MATCH(0,IF(1='Product List'!$C$2:$C$1002,COUNTIF('Change Request Form'!$N$36:$N109,'Product List'!$A$2:$A$1002),""),0)),"")</f>
        <v/>
      </c>
      <c r="O110" s="2">
        <f>IFERROR(IF(VLOOKUP(N110,'Product List'!A:D,4,FALSE)=1,VLOOKUP(N110,'Product List'!A:B,2,FALSE)&amp;"***",VLOOKUP(N110,'Product List'!A:B,2,FALSE)),"")</f>
        <v/>
      </c>
      <c r="P110" s="17" t="n"/>
      <c r="Q110" s="17" t="n"/>
    </row>
    <row r="111">
      <c r="B111" s="16" t="n"/>
      <c r="N111" s="113">
        <f t="array" ref="N111">IFERROR(INDEX('Product List'!$A$2:$A$1002,MATCH(0,IF(1='Product List'!$C$2:$C$1002,COUNTIF('Change Request Form'!$N$36:$N110,'Product List'!$A$2:$A$1002),""),0)),"")</f>
        <v/>
      </c>
      <c r="O111" s="2">
        <f>IFERROR(IF(VLOOKUP(N111,'Product List'!A:D,4,FALSE)=1,VLOOKUP(N111,'Product List'!A:B,2,FALSE)&amp;"***",VLOOKUP(N111,'Product List'!A:B,2,FALSE)),"")</f>
        <v/>
      </c>
      <c r="P111" s="17" t="n"/>
      <c r="Q111" s="17" t="n"/>
    </row>
    <row r="112">
      <c r="B112" s="16" t="n"/>
      <c r="N112" s="113">
        <f t="array" ref="N112">IFERROR(INDEX('Product List'!$A$2:$A$1002,MATCH(0,IF(1='Product List'!$C$2:$C$1002,COUNTIF('Change Request Form'!$N$36:$N111,'Product List'!$A$2:$A$1002),""),0)),"")</f>
        <v/>
      </c>
      <c r="O112" s="2">
        <f>IFERROR(IF(VLOOKUP(N112,'Product List'!A:D,4,FALSE)=1,VLOOKUP(N112,'Product List'!A:B,2,FALSE)&amp;"***",VLOOKUP(N112,'Product List'!A:B,2,FALSE)),"")</f>
        <v/>
      </c>
      <c r="P112" s="17" t="n"/>
      <c r="Q112" s="17" t="n"/>
    </row>
    <row r="113" ht="14.4" customHeight="1" thickBot="1">
      <c r="B113" s="16" t="n"/>
      <c r="N113" s="114">
        <f t="array" ref="N113">IFERROR(INDEX('Product List'!$A$2:$A$1002,MATCH(0,IF(1='Product List'!$C$2:$C$1002,COUNTIF('Change Request Form'!$N$36:$N112,'Product List'!$A$2:$A$1002),""),0)),"")</f>
        <v/>
      </c>
      <c r="O113" s="20">
        <f>IFERROR(IF(VLOOKUP(N113,'Product List'!A:D,4,FALSE)=1,VLOOKUP(N113,'Product List'!A:B,2,FALSE)&amp;"***",VLOOKUP(N113,'Product List'!A:B,2,FALSE)),"")</f>
        <v/>
      </c>
      <c r="P113" s="21" t="n"/>
      <c r="Q113" s="17" t="n"/>
    </row>
    <row r="114" ht="14.4" customHeight="1" thickBot="1">
      <c r="B114" s="19" t="n"/>
      <c r="C114" s="20" t="n"/>
      <c r="D114" s="20" t="n"/>
      <c r="E114" s="20" t="n"/>
      <c r="F114" s="20" t="n"/>
      <c r="G114" s="20" t="n"/>
      <c r="H114" s="20" t="n"/>
      <c r="I114" s="20" t="n"/>
      <c r="J114" s="20" t="n"/>
      <c r="K114" s="20" t="n"/>
      <c r="L114" s="20" t="n"/>
      <c r="M114" s="20" t="n"/>
      <c r="N114" s="20" t="n"/>
      <c r="O114" s="20" t="n"/>
      <c r="P114" s="20" t="n"/>
      <c r="Q114" s="21" t="n"/>
    </row>
    <row r="150984">
      <c r="AWB150984" s="2" t="inlineStr">
        <is>
          <t>:P</t>
        </is>
      </c>
    </row>
  </sheetData>
  <mergeCells count="31">
    <mergeCell ref="B99:H99"/>
    <mergeCell ref="I30:J30"/>
    <mergeCell ref="E26:H26"/>
    <mergeCell ref="N33:P33"/>
    <mergeCell ref="B9:H9"/>
    <mergeCell ref="B15:C16"/>
    <mergeCell ref="E16:H16"/>
    <mergeCell ref="B24:H24"/>
    <mergeCell ref="B6:H6"/>
    <mergeCell ref="E25:H25"/>
    <mergeCell ref="B12:C12"/>
    <mergeCell ref="B11:C11"/>
    <mergeCell ref="B4:H4"/>
    <mergeCell ref="B14:C14"/>
    <mergeCell ref="B3:H3"/>
    <mergeCell ref="B13:C13"/>
    <mergeCell ref="E14:H14"/>
    <mergeCell ref="B18:H18"/>
    <mergeCell ref="B10:C10"/>
    <mergeCell ref="E29:H29"/>
    <mergeCell ref="B2:H2"/>
    <mergeCell ref="E10:H10"/>
    <mergeCell ref="E28:H28"/>
    <mergeCell ref="E13:H13"/>
    <mergeCell ref="B101:H101"/>
    <mergeCell ref="B8:H8"/>
    <mergeCell ref="B1:H1"/>
    <mergeCell ref="E15:H15"/>
    <mergeCell ref="E11:H11"/>
    <mergeCell ref="E27:H27"/>
    <mergeCell ref="N34:P35"/>
  </mergeCells>
  <dataValidations disablePrompts="1" count="1">
    <dataValidation sqref="G20:G21 G32:G97" showDropDown="0" showInputMessage="1" showErrorMessage="1" allowBlank="1" type="list">
      <formula1>$B$11:$B$16</formula1>
    </dataValidation>
  </dataValidations>
  <pageMargins left="0" right="0" top="0.1574803149606299" bottom="0.1574803149606299" header="0.3149606299212598" footer="0.3149606299212598"/>
  <pageSetup orientation="portrait" paperSize="9" scale="36"/>
</worksheet>
</file>

<file path=xl/worksheets/sheet2.xml><?xml version="1.0" encoding="utf-8"?>
<worksheet xmlns="http://schemas.openxmlformats.org/spreadsheetml/2006/main">
  <sheetPr>
    <outlinePr summaryBelow="1" summaryRight="1"/>
    <pageSetUpPr/>
  </sheetPr>
  <dimension ref="A1:G869"/>
  <sheetViews>
    <sheetView topLeftCell="A144" workbookViewId="0">
      <selection activeCell="A151" sqref="A151:XFD151"/>
    </sheetView>
  </sheetViews>
  <sheetFormatPr baseColWidth="8" defaultRowHeight="14.4"/>
  <cols>
    <col width="15.44140625" customWidth="1" style="102" min="1" max="1"/>
    <col width="34.77734375" bestFit="1" customWidth="1" style="106" min="2" max="2"/>
    <col hidden="1" width="9.21875" customWidth="1" min="3" max="3"/>
    <col hidden="1" width="9.21875" customWidth="1" style="91" min="4" max="4"/>
    <col hidden="1" width="9.21875" customWidth="1" min="5" max="5"/>
    <col hidden="1" width="25.44140625" customWidth="1" min="6" max="6"/>
    <col hidden="1" width="9.21875" customWidth="1" min="7" max="8"/>
    <col width="9.21875" customWidth="1" min="9" max="24"/>
  </cols>
  <sheetData>
    <row r="1" ht="22.8" customHeight="1">
      <c r="A1" s="100" t="inlineStr">
        <is>
          <t>Wrin</t>
        </is>
      </c>
      <c r="B1" s="101" t="inlineStr">
        <is>
          <t>Product Name</t>
        </is>
      </c>
      <c r="C1" t="inlineStr">
        <is>
          <t>search match</t>
        </is>
      </c>
      <c r="D1" s="91" t="inlineStr">
        <is>
          <t>1 cut</t>
        </is>
      </c>
      <c r="G1" t="inlineStr">
        <is>
          <t>Increase</t>
        </is>
      </c>
    </row>
    <row r="2">
      <c r="A2" s="102" t="n">
        <v>8549021</v>
      </c>
      <c r="B2" s="103" t="inlineStr">
        <is>
          <t xml:space="preserve">APPLE SLICES </t>
        </is>
      </c>
      <c r="C2">
        <f>IF('Change Request Form'!$N$34="",0,COUNTIF(B2,"*"&amp;'Change Request Form'!$N$34&amp;"*"))</f>
        <v/>
      </c>
      <c r="G2" t="inlineStr">
        <is>
          <t>Decrease</t>
        </is>
      </c>
    </row>
    <row r="3" ht="16.8" customHeight="1">
      <c r="A3" s="104" t="n">
        <v>112085</v>
      </c>
      <c r="B3" s="105" t="inlineStr">
        <is>
          <t xml:space="preserve">BACON RASHER </t>
        </is>
      </c>
      <c r="C3">
        <f>IF('Change Request Form'!$N$34="",0,COUNTIF(B3,"*"&amp;'Change Request Form'!$N$34&amp;"*"))</f>
        <v/>
      </c>
    </row>
    <row r="4">
      <c r="A4" s="102" t="n">
        <v>15263011</v>
      </c>
      <c r="B4" s="106" t="inlineStr">
        <is>
          <t>BAG B</t>
        </is>
      </c>
      <c r="C4">
        <f>IF('Change Request Form'!$N$34="",0,COUNTIF(B4,"*"&amp;'Change Request Form'!$N$34&amp;"*"))</f>
        <v/>
      </c>
    </row>
    <row r="5">
      <c r="A5" s="102" t="n">
        <v>15263000</v>
      </c>
      <c r="B5" s="106" t="inlineStr">
        <is>
          <t>BAG B</t>
        </is>
      </c>
      <c r="C5">
        <f>IF('Change Request Form'!$N$34="",0,COUNTIF(B5,"*"&amp;'Change Request Form'!$N$34&amp;"*"))</f>
        <v/>
      </c>
    </row>
    <row r="6">
      <c r="A6" s="102" t="n">
        <v>141571</v>
      </c>
      <c r="B6" s="106" t="inlineStr">
        <is>
          <t>BAG BREAKFAST NO 16</t>
        </is>
      </c>
      <c r="C6">
        <f>IF('Change Request Form'!$N$34="",0,COUNTIF(B6,"*"&amp;'Change Request Form'!$N$34&amp;"*"))</f>
        <v/>
      </c>
    </row>
    <row r="7">
      <c r="A7" s="102" t="n">
        <v>141368</v>
      </c>
      <c r="B7" s="106" t="inlineStr">
        <is>
          <t>BAG BREAKFAST NO 16</t>
        </is>
      </c>
      <c r="C7">
        <f>IF('Change Request Form'!$N$34="",0,COUNTIF(B7,"*"&amp;'Change Request Form'!$N$34&amp;"*"))</f>
        <v/>
      </c>
    </row>
    <row r="8">
      <c r="A8" s="102" t="n">
        <v>127941</v>
      </c>
      <c r="B8" s="106" t="inlineStr">
        <is>
          <t>BAG FRIES SMALL</t>
        </is>
      </c>
      <c r="C8">
        <f>IF('Change Request Form'!$N$34="",0,COUNTIF(B8,"*"&amp;'Change Request Form'!$N$34&amp;"*"))</f>
        <v/>
      </c>
      <c r="D8" s="91" t="n">
        <v>1</v>
      </c>
    </row>
    <row r="9">
      <c r="A9" s="102" t="n">
        <v>5429611</v>
      </c>
      <c r="B9" s="106" t="inlineStr">
        <is>
          <t>BAG GENERIC SNACK</t>
        </is>
      </c>
      <c r="C9">
        <f>IF('Change Request Form'!$N$34="",0,COUNTIF(B9,"*"&amp;'Change Request Form'!$N$34&amp;"*"))</f>
        <v/>
      </c>
      <c r="D9" s="91" t="n">
        <v>1</v>
      </c>
    </row>
    <row r="10">
      <c r="A10" s="102" t="n">
        <v>5429684</v>
      </c>
      <c r="B10" s="106" t="inlineStr">
        <is>
          <t>BAG HASH BROWN</t>
        </is>
      </c>
      <c r="C10">
        <f>IF('Change Request Form'!$N$34="",0,COUNTIF(B10,"*"&amp;'Change Request Form'!$N$34&amp;"*"))</f>
        <v/>
      </c>
      <c r="D10" s="91" t="n">
        <v>1</v>
      </c>
    </row>
    <row r="11">
      <c r="A11" s="102" t="n">
        <v>5429612</v>
      </c>
      <c r="B11" s="106" t="inlineStr">
        <is>
          <t>BAG HASH BROWN</t>
        </is>
      </c>
      <c r="C11">
        <f>IF('Change Request Form'!$N$34="",0,COUNTIF(B11,"*"&amp;'Change Request Form'!$N$34&amp;"*"))</f>
        <v/>
      </c>
      <c r="D11" s="91" t="n">
        <v>1</v>
      </c>
    </row>
    <row r="12">
      <c r="A12" s="102" t="n">
        <v>3723350</v>
      </c>
      <c r="B12" s="106" t="inlineStr">
        <is>
          <t>BAG McNUGGET 3 PCE</t>
        </is>
      </c>
      <c r="C12">
        <f>IF('Change Request Form'!$N$34="",0,COUNTIF(B12,"*"&amp;'Change Request Form'!$N$34&amp;"*"))</f>
        <v/>
      </c>
      <c r="D12" s="91" t="n">
        <v>1</v>
      </c>
    </row>
    <row r="13">
      <c r="A13" s="102" t="n">
        <v>141572</v>
      </c>
      <c r="B13" s="106" t="inlineStr">
        <is>
          <t xml:space="preserve">BAG MDS D BAG </t>
        </is>
      </c>
      <c r="C13">
        <f>IF('Change Request Form'!$N$34="",0,COUNTIF(B13,"*"&amp;'Change Request Form'!$N$34&amp;"*"))</f>
        <v/>
      </c>
    </row>
    <row r="14">
      <c r="A14" s="102" t="n">
        <v>141542</v>
      </c>
      <c r="B14" s="106" t="inlineStr">
        <is>
          <t xml:space="preserve">BAG MDS D BAG </t>
        </is>
      </c>
      <c r="C14">
        <f>IF('Change Request Form'!$N$34="",0,COUNTIF(B14,"*"&amp;'Change Request Form'!$N$34&amp;"*"))</f>
        <v/>
      </c>
    </row>
    <row r="15">
      <c r="A15" s="102" t="n">
        <v>141574</v>
      </c>
      <c r="B15" s="106" t="inlineStr">
        <is>
          <t xml:space="preserve">BAG MDS D BAG </t>
        </is>
      </c>
      <c r="C15">
        <f>IF('Change Request Form'!$N$34="",0,COUNTIF(B15,"*"&amp;'Change Request Form'!$N$34&amp;"*"))</f>
        <v/>
      </c>
    </row>
    <row r="16">
      <c r="A16" s="102" t="n">
        <v>141538</v>
      </c>
      <c r="B16" s="106" t="inlineStr">
        <is>
          <t xml:space="preserve">BAG MDS D BAG </t>
        </is>
      </c>
      <c r="C16">
        <f>IF('Change Request Form'!$N$34="",0,COUNTIF(B16,"*"&amp;'Change Request Form'!$N$34&amp;"*"))</f>
        <v/>
      </c>
    </row>
    <row r="17">
      <c r="A17" s="102" t="n">
        <v>14205004</v>
      </c>
      <c r="B17" s="106" t="inlineStr">
        <is>
          <t>BAG NO 4</t>
        </is>
      </c>
      <c r="C17">
        <f>IF('Change Request Form'!$N$34="",0,COUNTIF(B17,"*"&amp;'Change Request Form'!$N$34&amp;"*"))</f>
        <v/>
      </c>
    </row>
    <row r="18">
      <c r="A18" s="102" t="n">
        <v>6145075</v>
      </c>
      <c r="B18" s="106" t="inlineStr">
        <is>
          <t>BAG NO 4</t>
        </is>
      </c>
      <c r="C18">
        <f>IF('Change Request Form'!$N$34="",0,COUNTIF(B18,"*"&amp;'Change Request Form'!$N$34&amp;"*"))</f>
        <v/>
      </c>
    </row>
    <row r="19">
      <c r="A19" s="102" t="n">
        <v>6723080</v>
      </c>
      <c r="B19" s="106" t="inlineStr">
        <is>
          <t>BAG ONION RINGS</t>
        </is>
      </c>
      <c r="C19">
        <f>IF('Change Request Form'!$N$34="",0,COUNTIF(B19,"*"&amp;'Change Request Form'!$N$34&amp;"*"))</f>
        <v/>
      </c>
    </row>
    <row r="20">
      <c r="A20" s="102" t="n">
        <v>6723100</v>
      </c>
      <c r="B20" s="106" t="inlineStr">
        <is>
          <t>BAG ONION RINGS</t>
        </is>
      </c>
      <c r="C20">
        <f>IF('Change Request Form'!$N$34="",0,COUNTIF(B20,"*"&amp;'Change Request Form'!$N$34&amp;"*"))</f>
        <v/>
      </c>
    </row>
    <row r="21">
      <c r="A21" s="102" t="n">
        <v>12142001</v>
      </c>
      <c r="B21" s="106" t="inlineStr">
        <is>
          <t>BAG PASTRY UNPRINTED B987P0330</t>
        </is>
      </c>
      <c r="C21">
        <f>IF('Change Request Form'!$N$34="",0,COUNTIF(B21,"*"&amp;'Change Request Form'!$N$34&amp;"*"))</f>
        <v/>
      </c>
    </row>
    <row r="22">
      <c r="A22" s="102" t="n">
        <v>6358100</v>
      </c>
      <c r="B22" s="106" t="inlineStr">
        <is>
          <t>BAG PINEAPPLE FRITTER</t>
        </is>
      </c>
      <c r="C22">
        <f>IF('Change Request Form'!$N$34="",0,COUNTIF(B22,"*"&amp;'Change Request Form'!$N$34&amp;"*"))</f>
        <v/>
      </c>
      <c r="D22" s="91" t="n">
        <v>1</v>
      </c>
    </row>
    <row r="23">
      <c r="A23" s="102" t="n">
        <v>258102</v>
      </c>
      <c r="B23" s="106" t="inlineStr">
        <is>
          <t>BASE BREAKFAST</t>
        </is>
      </c>
      <c r="C23">
        <f>IF('Change Request Form'!$N$34="",0,COUNTIF(B23,"*"&amp;'Change Request Form'!$N$34&amp;"*"))</f>
        <v/>
      </c>
    </row>
    <row r="24">
      <c r="A24" s="102" t="n">
        <v>5059</v>
      </c>
      <c r="B24" s="106" t="inlineStr">
        <is>
          <t xml:space="preserve">BEEF PATTIES 10:1 </t>
        </is>
      </c>
      <c r="C24">
        <f>IF('Change Request Form'!$N$34="",0,COUNTIF(B24,"*"&amp;'Change Request Form'!$N$34&amp;"*"))</f>
        <v/>
      </c>
    </row>
    <row r="25">
      <c r="A25" s="102" t="n">
        <v>5399</v>
      </c>
      <c r="B25" s="106" t="inlineStr">
        <is>
          <t xml:space="preserve">BEEF PATTIES 10:1 </t>
        </is>
      </c>
      <c r="C25">
        <f>IF('Change Request Form'!$N$34="",0,COUNTIF(B25,"*"&amp;'Change Request Form'!$N$34&amp;"*"))</f>
        <v/>
      </c>
    </row>
    <row r="26">
      <c r="A26" s="102" t="n">
        <v>5052</v>
      </c>
      <c r="B26" s="106" t="inlineStr">
        <is>
          <t xml:space="preserve">BEEF PATTIES 10:1 </t>
        </is>
      </c>
      <c r="C26">
        <f>IF('Change Request Form'!$N$34="",0,COUNTIF(B26,"*"&amp;'Change Request Form'!$N$34&amp;"*"))</f>
        <v/>
      </c>
    </row>
    <row r="27">
      <c r="A27" s="102" t="n">
        <v>5875066</v>
      </c>
      <c r="B27" s="106" t="inlineStr">
        <is>
          <t xml:space="preserve">BEEF PATTIES 3:1 </t>
        </is>
      </c>
      <c r="C27">
        <f>IF('Change Request Form'!$N$34="",0,COUNTIF(B27,"*"&amp;'Change Request Form'!$N$34&amp;"*"))</f>
        <v/>
      </c>
    </row>
    <row r="28">
      <c r="A28" s="102" t="n">
        <v>5875100</v>
      </c>
      <c r="B28" s="106" t="inlineStr">
        <is>
          <t xml:space="preserve">BEEF PATTIES 3:1 </t>
        </is>
      </c>
      <c r="C28">
        <f>IF('Change Request Form'!$N$34="",0,COUNTIF(B28,"*"&amp;'Change Request Form'!$N$34&amp;"*"))</f>
        <v/>
      </c>
    </row>
    <row r="29">
      <c r="A29" s="102" t="n">
        <v>5875021</v>
      </c>
      <c r="B29" s="106" t="inlineStr">
        <is>
          <t xml:space="preserve">BEEF PATTIES 3:1 </t>
        </is>
      </c>
      <c r="C29">
        <f>IF('Change Request Form'!$N$34="",0,COUNTIF(B29,"*"&amp;'Change Request Form'!$N$34&amp;"*"))</f>
        <v/>
      </c>
    </row>
    <row r="30">
      <c r="A30" s="102" t="n">
        <v>6085</v>
      </c>
      <c r="B30" s="106" t="inlineStr">
        <is>
          <t>BEEF PATTIES 4:1</t>
        </is>
      </c>
      <c r="C30">
        <f>IF('Change Request Form'!$N$34="",0,COUNTIF(B30,"*"&amp;'Change Request Form'!$N$34&amp;"*"))</f>
        <v/>
      </c>
    </row>
    <row r="31">
      <c r="A31" s="102" t="n">
        <v>6291</v>
      </c>
      <c r="B31" s="106" t="inlineStr">
        <is>
          <t>BEEF PATTIES 4:1</t>
        </is>
      </c>
      <c r="C31">
        <f>IF('Change Request Form'!$N$34="",0,COUNTIF(B31,"*"&amp;'Change Request Form'!$N$34&amp;"*"))</f>
        <v/>
      </c>
    </row>
    <row r="32">
      <c r="A32" s="102" t="n">
        <v>6147</v>
      </c>
      <c r="B32" s="106" t="inlineStr">
        <is>
          <t>BEEF PATTIES 4:1</t>
        </is>
      </c>
      <c r="C32">
        <f>IF('Change Request Form'!$N$34="",0,COUNTIF(B32,"*"&amp;'Change Request Form'!$N$34&amp;"*"))</f>
        <v/>
      </c>
    </row>
    <row r="33">
      <c r="A33" s="102" t="n">
        <v>6766046</v>
      </c>
      <c r="B33" s="106" t="inlineStr">
        <is>
          <t>BEEF SAUSAGE PATTIES</t>
        </is>
      </c>
      <c r="C33">
        <f>IF('Change Request Form'!$N$34="",0,COUNTIF(B33,"*"&amp;'Change Request Form'!$N$34&amp;"*"))</f>
        <v/>
      </c>
    </row>
    <row r="34">
      <c r="A34" s="102" t="n">
        <v>6766043</v>
      </c>
      <c r="B34" s="106" t="inlineStr">
        <is>
          <t>BEEF SAUSAGE PATTIES</t>
        </is>
      </c>
      <c r="C34">
        <f>IF('Change Request Form'!$N$34="",0,COUNTIF(B34,"*"&amp;'Change Request Form'!$N$34&amp;"*"))</f>
        <v/>
      </c>
    </row>
    <row r="35">
      <c r="A35" s="102" t="n">
        <v>10261039</v>
      </c>
      <c r="B35" s="106" t="inlineStr">
        <is>
          <t>BIRTHDAY LATTE POWDER</t>
        </is>
      </c>
      <c r="C35">
        <f>IF('Change Request Form'!$N$34="",0,COUNTIF(B35,"*"&amp;'Change Request Form'!$N$34&amp;"*"))</f>
        <v/>
      </c>
    </row>
    <row r="36">
      <c r="A36" s="102" t="n">
        <v>18464003</v>
      </c>
      <c r="B36" s="106" t="inlineStr">
        <is>
          <t>BOX ARTIST RESIDENCY</t>
        </is>
      </c>
      <c r="C36">
        <f>IF('Change Request Form'!$N$34="",0,COUNTIF(B36,"*"&amp;'Change Request Form'!$N$34&amp;"*"))</f>
        <v/>
      </c>
    </row>
    <row r="37">
      <c r="A37" s="102" t="n">
        <v>15264000</v>
      </c>
      <c r="B37" s="106" t="inlineStr">
        <is>
          <t>BOX FRIES LARGE</t>
        </is>
      </c>
      <c r="C37">
        <f>IF('Change Request Form'!$N$34="",0,COUNTIF(B37,"*"&amp;'Change Request Form'!$N$34&amp;"*"))</f>
        <v/>
      </c>
    </row>
    <row r="38">
      <c r="A38" s="102" t="n">
        <v>15288000</v>
      </c>
      <c r="B38" s="106" t="inlineStr">
        <is>
          <t>BOX FRIES LARGE</t>
        </is>
      </c>
      <c r="C38">
        <f>IF('Change Request Form'!$N$34="",0,COUNTIF(B38,"*"&amp;'Change Request Form'!$N$34&amp;"*"))</f>
        <v/>
      </c>
    </row>
    <row r="39">
      <c r="A39" s="102" t="n">
        <v>163914</v>
      </c>
      <c r="B39" s="106" t="inlineStr">
        <is>
          <t>BOX FRIES MEDIUM</t>
        </is>
      </c>
      <c r="C39">
        <f>IF('Change Request Form'!$N$34="",0,COUNTIF(B39,"*"&amp;'Change Request Form'!$N$34&amp;"*"))</f>
        <v/>
      </c>
    </row>
    <row r="40">
      <c r="A40" s="102" t="n">
        <v>163917</v>
      </c>
      <c r="B40" s="106" t="inlineStr">
        <is>
          <t>BOX FRIES MEDIUM</t>
        </is>
      </c>
      <c r="C40">
        <f>IF('Change Request Form'!$N$34="",0,COUNTIF(B40,"*"&amp;'Change Request Form'!$N$34&amp;"*"))</f>
        <v/>
      </c>
    </row>
    <row r="41">
      <c r="A41" s="102" t="n">
        <v>6691853</v>
      </c>
      <c r="B41" s="106" t="inlineStr">
        <is>
          <t xml:space="preserve">BOX HAPPY MEAL </t>
        </is>
      </c>
      <c r="C41">
        <f>IF('Change Request Form'!$N$34="",0,COUNTIF(B41,"*"&amp;'Change Request Form'!$N$34&amp;"*"))</f>
        <v/>
      </c>
    </row>
    <row r="42">
      <c r="A42" s="102" t="n">
        <v>6691854</v>
      </c>
      <c r="B42" s="106" t="inlineStr">
        <is>
          <t xml:space="preserve">BOX HAPPY MEAL </t>
        </is>
      </c>
      <c r="C42">
        <f>IF('Change Request Form'!$N$34="",0,COUNTIF(B42,"*"&amp;'Change Request Form'!$N$34&amp;"*"))</f>
        <v/>
      </c>
    </row>
    <row r="43">
      <c r="A43" s="102" t="n">
        <v>5582227</v>
      </c>
      <c r="B43" s="106" t="inlineStr">
        <is>
          <t>BOX McNUGGET 10 PCE</t>
        </is>
      </c>
      <c r="C43">
        <f>IF('Change Request Form'!$N$34="",0,COUNTIF(B43,"*"&amp;'Change Request Form'!$N$34&amp;"*"))</f>
        <v/>
      </c>
    </row>
    <row r="44">
      <c r="A44" s="102" t="n">
        <v>5582228</v>
      </c>
      <c r="B44" s="106" t="inlineStr">
        <is>
          <t>BOX McNUGGET 10 PCE</t>
        </is>
      </c>
      <c r="C44">
        <f>IF('Change Request Form'!$N$34="",0,COUNTIF(B44,"*"&amp;'Change Request Form'!$N$34&amp;"*"))</f>
        <v/>
      </c>
    </row>
    <row r="45">
      <c r="A45" s="102" t="n">
        <v>5582248</v>
      </c>
      <c r="B45" s="106" t="inlineStr">
        <is>
          <t>BOX McNUGGET 10 PCE SPICY</t>
        </is>
      </c>
      <c r="C45">
        <f>IF('Change Request Form'!$N$34="",0,COUNTIF(B45,"*"&amp;'Change Request Form'!$N$34&amp;"*"))</f>
        <v/>
      </c>
      <c r="D45" s="91" t="n">
        <v>1</v>
      </c>
    </row>
    <row r="46">
      <c r="A46" s="102" t="n">
        <v>10638021</v>
      </c>
      <c r="B46" s="106" t="inlineStr">
        <is>
          <t>BOX McNUGGET 20 PCE</t>
        </is>
      </c>
      <c r="C46">
        <f>IF('Change Request Form'!$N$34="",0,COUNTIF(B46,"*"&amp;'Change Request Form'!$N$34&amp;"*"))</f>
        <v/>
      </c>
    </row>
    <row r="47">
      <c r="A47" s="102" t="n">
        <v>5582249</v>
      </c>
      <c r="B47" s="106" t="inlineStr">
        <is>
          <t>BOX McNUGGET 20 PCE</t>
        </is>
      </c>
      <c r="C47">
        <f>IF('Change Request Form'!$N$34="",0,COUNTIF(B47,"*"&amp;'Change Request Form'!$N$34&amp;"*"))</f>
        <v/>
      </c>
    </row>
    <row r="48">
      <c r="A48" s="102" t="n">
        <v>289568</v>
      </c>
      <c r="B48" s="106" t="inlineStr">
        <is>
          <t>BOX McNUGGET 20 PCE SPICY</t>
        </is>
      </c>
      <c r="C48">
        <f>IF('Change Request Form'!$N$34="",0,COUNTIF(B48,"*"&amp;'Change Request Form'!$N$34&amp;"*"))</f>
        <v/>
      </c>
      <c r="D48" s="91" t="n">
        <v>1</v>
      </c>
    </row>
    <row r="49">
      <c r="A49" s="102" t="n">
        <v>10638023</v>
      </c>
      <c r="B49" s="106" t="inlineStr">
        <is>
          <t>BOX McNUGGET 24 PCE</t>
        </is>
      </c>
      <c r="C49">
        <f>IF('Change Request Form'!$N$34="",0,COUNTIF(B49,"*"&amp;'Change Request Form'!$N$34&amp;"*"))</f>
        <v/>
      </c>
      <c r="D49" s="91" t="n">
        <v>1</v>
      </c>
    </row>
    <row r="50">
      <c r="A50" s="102" t="n">
        <v>10638026</v>
      </c>
      <c r="B50" s="106" t="inlineStr">
        <is>
          <t>BOX McNUGGET 24 PCE</t>
        </is>
      </c>
      <c r="C50">
        <f>IF('Change Request Form'!$N$34="",0,COUNTIF(B50,"*"&amp;'Change Request Form'!$N$34&amp;"*"))</f>
        <v/>
      </c>
      <c r="D50" s="91" t="n">
        <v>1</v>
      </c>
    </row>
    <row r="51">
      <c r="A51" s="102" t="n">
        <v>166496</v>
      </c>
      <c r="B51" s="106" t="inlineStr">
        <is>
          <t>BOX PIE APPLE</t>
        </is>
      </c>
      <c r="C51">
        <f>IF('Change Request Form'!$N$34="",0,COUNTIF(B51,"*"&amp;'Change Request Form'!$N$34&amp;"*"))</f>
        <v/>
      </c>
      <c r="D51" s="91" t="n">
        <v>1</v>
      </c>
    </row>
    <row r="52">
      <c r="A52" s="102" t="n">
        <v>7153124</v>
      </c>
      <c r="B52" s="106" t="inlineStr">
        <is>
          <t>BOX PIE GENERIC</t>
        </is>
      </c>
      <c r="C52">
        <f>IF('Change Request Form'!$N$34="",0,COUNTIF(B52,"*"&amp;'Change Request Form'!$N$34&amp;"*"))</f>
        <v/>
      </c>
    </row>
    <row r="53">
      <c r="A53" s="102" t="n">
        <v>15283004</v>
      </c>
      <c r="B53" s="106" t="inlineStr">
        <is>
          <t xml:space="preserve">BOX SALAD LARGE </t>
        </is>
      </c>
      <c r="C53">
        <f>IF('Change Request Form'!$N$34="",0,COUNTIF(B53,"*"&amp;'Change Request Form'!$N$34&amp;"*"))</f>
        <v/>
      </c>
      <c r="D53" s="91" t="n">
        <v>1</v>
      </c>
    </row>
    <row r="54">
      <c r="A54" s="102" t="n">
        <v>15282000</v>
      </c>
      <c r="B54" s="106" t="inlineStr">
        <is>
          <t xml:space="preserve">BOX SALAD SMALL </t>
        </is>
      </c>
      <c r="C54">
        <f>IF('Change Request Form'!$N$34="",0,COUNTIF(B54,"*"&amp;'Change Request Form'!$N$34&amp;"*"))</f>
        <v/>
      </c>
      <c r="D54" s="91" t="n">
        <v>1</v>
      </c>
    </row>
    <row r="55">
      <c r="A55" s="102" t="n">
        <v>5749031</v>
      </c>
      <c r="B55" s="106" t="inlineStr">
        <is>
          <t>BREAD S/D SLICE ARTISAN</t>
        </is>
      </c>
      <c r="C55">
        <f>IF('Change Request Form'!$N$34="",0,COUNTIF(B55,"*"&amp;'Change Request Form'!$N$34&amp;"*"))</f>
        <v/>
      </c>
    </row>
    <row r="56">
      <c r="A56" s="102" t="n">
        <v>5749032</v>
      </c>
      <c r="B56" s="106" t="inlineStr">
        <is>
          <t>BREAD S/D SLICE ARTISAN</t>
        </is>
      </c>
      <c r="C56">
        <f>IF('Change Request Form'!$N$34="",0,COUNTIF(B56,"*"&amp;'Change Request Form'!$N$34&amp;"*"))</f>
        <v/>
      </c>
    </row>
    <row r="57">
      <c r="A57" s="102" t="n">
        <v>2687</v>
      </c>
      <c r="B57" s="106" t="inlineStr">
        <is>
          <t>BUN 4 INCH</t>
        </is>
      </c>
      <c r="C57">
        <f>IF('Change Request Form'!$N$34="",0,COUNTIF(B57,"*"&amp;'Change Request Form'!$N$34&amp;"*"))</f>
        <v/>
      </c>
    </row>
    <row r="58">
      <c r="A58" s="102" t="n">
        <v>2688</v>
      </c>
      <c r="B58" s="106" t="inlineStr">
        <is>
          <t>BUN 4 INCH</t>
        </is>
      </c>
      <c r="C58">
        <f>IF('Change Request Form'!$N$34="",0,COUNTIF(B58,"*"&amp;'Change Request Form'!$N$34&amp;"*"))</f>
        <v/>
      </c>
    </row>
    <row r="59">
      <c r="A59" s="102" t="n">
        <v>3550</v>
      </c>
      <c r="B59" s="106" t="inlineStr">
        <is>
          <t>BUN BIG MAC</t>
        </is>
      </c>
      <c r="C59">
        <f>IF('Change Request Form'!$N$34="",0,COUNTIF(B59,"*"&amp;'Change Request Form'!$N$34&amp;"*"))</f>
        <v/>
      </c>
    </row>
    <row r="60">
      <c r="A60" s="102" t="n">
        <v>3552</v>
      </c>
      <c r="B60" s="106" t="inlineStr">
        <is>
          <t>BUN BIG MAC</t>
        </is>
      </c>
      <c r="C60">
        <f>IF('Change Request Form'!$N$34="",0,COUNTIF(B60,"*"&amp;'Change Request Form'!$N$34&amp;"*"))</f>
        <v/>
      </c>
    </row>
    <row r="61">
      <c r="A61" s="102" t="n">
        <v>12060019</v>
      </c>
      <c r="B61" s="106" t="inlineStr">
        <is>
          <t>BUN GOURMET</t>
        </is>
      </c>
      <c r="C61">
        <f>IF('Change Request Form'!$N$34="",0,COUNTIF(B61,"*"&amp;'Change Request Form'!$N$34&amp;"*"))</f>
        <v/>
      </c>
    </row>
    <row r="62">
      <c r="A62" s="102" t="n">
        <v>12060018</v>
      </c>
      <c r="B62" s="106" t="inlineStr">
        <is>
          <t>BUN GOURMET</t>
        </is>
      </c>
      <c r="C62">
        <f>IF('Change Request Form'!$N$34="",0,COUNTIF(B62,"*"&amp;'Change Request Form'!$N$34&amp;"*"))</f>
        <v/>
      </c>
    </row>
    <row r="63">
      <c r="A63" s="102" t="n">
        <v>17581002</v>
      </c>
      <c r="B63" s="106" t="inlineStr">
        <is>
          <t>BUN MCCRISPY</t>
        </is>
      </c>
      <c r="C63">
        <f>IF('Change Request Form'!$N$34="",0,COUNTIF(B63,"*"&amp;'Change Request Form'!$N$34&amp;"*"))</f>
        <v/>
      </c>
    </row>
    <row r="64">
      <c r="A64" s="102" t="n">
        <v>17581001</v>
      </c>
      <c r="B64" s="106" t="inlineStr">
        <is>
          <t>BUN MCCRISPY</t>
        </is>
      </c>
      <c r="C64">
        <f>IF('Change Request Form'!$N$34="",0,COUNTIF(B64,"*"&amp;'Change Request Form'!$N$34&amp;"*"))</f>
        <v/>
      </c>
    </row>
    <row r="65">
      <c r="A65" s="102" t="n">
        <v>2793109</v>
      </c>
      <c r="B65" s="106" t="inlineStr">
        <is>
          <t>BUN MCRIB</t>
        </is>
      </c>
      <c r="C65">
        <f>IF('Change Request Form'!$N$34="",0,COUNTIF(B65,"*"&amp;'Change Request Form'!$N$34&amp;"*"))</f>
        <v/>
      </c>
    </row>
    <row r="66">
      <c r="A66" s="102" t="n">
        <v>2793113</v>
      </c>
      <c r="B66" s="106" t="inlineStr">
        <is>
          <t>BUN MCRIB</t>
        </is>
      </c>
      <c r="C66">
        <f>IF('Change Request Form'!$N$34="",0,COUNTIF(B66,"*"&amp;'Change Request Form'!$N$34&amp;"*"))</f>
        <v/>
      </c>
    </row>
    <row r="67">
      <c r="A67" s="102" t="n">
        <v>1795</v>
      </c>
      <c r="B67" s="106" t="inlineStr">
        <is>
          <t>BUN REGULAR</t>
        </is>
      </c>
      <c r="C67">
        <f>IF('Change Request Form'!$N$34="",0,COUNTIF(B67,"*"&amp;'Change Request Form'!$N$34&amp;"*"))</f>
        <v/>
      </c>
    </row>
    <row r="68">
      <c r="A68" s="102" t="n">
        <v>1794</v>
      </c>
      <c r="B68" s="106" t="inlineStr">
        <is>
          <t>BUN REGULAR</t>
        </is>
      </c>
      <c r="C68">
        <f>IF('Change Request Form'!$N$34="",0,COUNTIF(B68,"*"&amp;'Change Request Form'!$N$34&amp;"*"))</f>
        <v/>
      </c>
    </row>
    <row r="69">
      <c r="A69" s="102" t="n">
        <v>35012</v>
      </c>
      <c r="B69" s="106" t="inlineStr">
        <is>
          <t>BUTTER WHIPPED PORTIONS</t>
        </is>
      </c>
      <c r="C69">
        <f>IF('Change Request Form'!$N$34="",0,COUNTIF(B69,"*"&amp;'Change Request Form'!$N$34&amp;"*"))</f>
        <v/>
      </c>
    </row>
    <row r="70">
      <c r="A70" s="102" t="n">
        <v>2832056</v>
      </c>
      <c r="B70" s="106" t="inlineStr">
        <is>
          <t>CAF APPLE CBL MUFFIN</t>
        </is>
      </c>
      <c r="C70">
        <f>IF('Change Request Form'!$N$34="",0,COUNTIF(B70,"*"&amp;'Change Request Form'!$N$34&amp;"*"))</f>
        <v/>
      </c>
    </row>
    <row r="71">
      <c r="A71" s="102" t="n">
        <v>6755102</v>
      </c>
      <c r="B71" s="106" t="inlineStr">
        <is>
          <t>CAF AUSTRALIANO CHAI</t>
        </is>
      </c>
      <c r="C71">
        <f>IF('Change Request Form'!$N$34="",0,COUNTIF(B71,"*"&amp;'Change Request Form'!$N$34&amp;"*"))</f>
        <v/>
      </c>
    </row>
    <row r="72">
      <c r="A72" s="102" t="n">
        <v>2937128</v>
      </c>
      <c r="B72" s="106" t="inlineStr">
        <is>
          <t>CAF BAG PASTRY</t>
        </is>
      </c>
      <c r="C72">
        <f>IF('Change Request Form'!$N$34="",0,COUNTIF(B72,"*"&amp;'Change Request Form'!$N$34&amp;"*"))</f>
        <v/>
      </c>
      <c r="D72" s="91" t="n">
        <v>1</v>
      </c>
    </row>
    <row r="73">
      <c r="A73" s="102" t="n">
        <v>35105</v>
      </c>
      <c r="B73" s="106" t="inlineStr">
        <is>
          <t>CAF BUTTER PORTIONS</t>
        </is>
      </c>
      <c r="C73">
        <f>IF('Change Request Form'!$N$34="",0,COUNTIF(B73,"*"&amp;'Change Request Form'!$N$34&amp;"*"))</f>
        <v/>
      </c>
    </row>
    <row r="74">
      <c r="A74" s="102" t="n">
        <v>35016</v>
      </c>
      <c r="B74" s="106" t="inlineStr">
        <is>
          <t>CAF BUTTER PORTIONS</t>
        </is>
      </c>
      <c r="C74">
        <f>IF('Change Request Form'!$N$34="",0,COUNTIF(B74,"*"&amp;'Change Request Form'!$N$34&amp;"*"))</f>
        <v/>
      </c>
    </row>
    <row r="75">
      <c r="A75" s="102" t="n">
        <v>1219101</v>
      </c>
      <c r="B75" s="106" t="inlineStr">
        <is>
          <t>CAF COFFEE DECAFFINATED</t>
        </is>
      </c>
      <c r="C75">
        <f>IF('Change Request Form'!$N$34="",0,COUNTIF(B75,"*"&amp;'Change Request Form'!$N$34&amp;"*"))</f>
        <v/>
      </c>
      <c r="D75" s="91" t="n">
        <v>1</v>
      </c>
    </row>
    <row r="76">
      <c r="A76" s="102" t="n">
        <v>111503</v>
      </c>
      <c r="B76" s="106" t="inlineStr">
        <is>
          <t>CAF CUP 12OZ STANDARD</t>
        </is>
      </c>
      <c r="C76">
        <f>IF('Change Request Form'!$N$34="",0,COUNTIF(B76,"*"&amp;'Change Request Form'!$N$34&amp;"*"))</f>
        <v/>
      </c>
    </row>
    <row r="77">
      <c r="A77" s="102" t="n">
        <v>111515</v>
      </c>
      <c r="B77" s="106" t="inlineStr">
        <is>
          <t>CAF CUP 12OZ STANDARD</t>
        </is>
      </c>
      <c r="C77">
        <f>IF('Change Request Form'!$N$34="",0,COUNTIF(B77,"*"&amp;'Change Request Form'!$N$34&amp;"*"))</f>
        <v/>
      </c>
    </row>
    <row r="78">
      <c r="A78" s="102" t="n">
        <v>111707</v>
      </c>
      <c r="B78" s="106" t="inlineStr">
        <is>
          <t>CAF CUP 12OZ STANDARD</t>
        </is>
      </c>
      <c r="C78">
        <f>IF('Change Request Form'!$N$34="",0,COUNTIF(B78,"*"&amp;'Change Request Form'!$N$34&amp;"*"))</f>
        <v/>
      </c>
    </row>
    <row r="79">
      <c r="A79" s="102" t="n">
        <v>111512</v>
      </c>
      <c r="B79" s="106" t="inlineStr">
        <is>
          <t>CAF CUP 12OZ STANDARD</t>
        </is>
      </c>
      <c r="C79">
        <f>IF('Change Request Form'!$N$34="",0,COUNTIF(B79,"*"&amp;'Change Request Form'!$N$34&amp;"*"))</f>
        <v/>
      </c>
    </row>
    <row r="80">
      <c r="A80" s="102" t="n">
        <v>2991176</v>
      </c>
      <c r="B80" s="106" t="inlineStr">
        <is>
          <t>CAF CUP 16OZ TALL</t>
        </is>
      </c>
      <c r="C80">
        <f>IF('Change Request Form'!$N$34="",0,COUNTIF(B80,"*"&amp;'Change Request Form'!$N$34&amp;"*"))</f>
        <v/>
      </c>
    </row>
    <row r="81">
      <c r="A81" s="102" t="n">
        <v>2991145</v>
      </c>
      <c r="B81" s="106" t="inlineStr">
        <is>
          <t>CAF CUP 16OZ TALL</t>
        </is>
      </c>
      <c r="C81">
        <f>IF('Change Request Form'!$N$34="",0,COUNTIF(B81,"*"&amp;'Change Request Form'!$N$34&amp;"*"))</f>
        <v/>
      </c>
    </row>
    <row r="82">
      <c r="A82" s="102" t="n">
        <v>2991164</v>
      </c>
      <c r="B82" s="106" t="inlineStr">
        <is>
          <t>CAF CUP 16OZ TALL</t>
        </is>
      </c>
      <c r="C82">
        <f>IF('Change Request Form'!$N$34="",0,COUNTIF(B82,"*"&amp;'Change Request Form'!$N$34&amp;"*"))</f>
        <v/>
      </c>
    </row>
    <row r="83">
      <c r="A83" s="102" t="n">
        <v>2991143</v>
      </c>
      <c r="B83" s="106" t="inlineStr">
        <is>
          <t>CAF CUP 16OZ TALL</t>
        </is>
      </c>
      <c r="C83">
        <f>IF('Change Request Form'!$N$34="",0,COUNTIF(B83,"*"&amp;'Change Request Form'!$N$34&amp;"*"))</f>
        <v/>
      </c>
    </row>
    <row r="84">
      <c r="A84" s="102" t="n">
        <v>5664156</v>
      </c>
      <c r="B84" s="106" t="inlineStr">
        <is>
          <t>CAF CUP 4OZ DWHC</t>
        </is>
      </c>
      <c r="C84">
        <f>IF('Change Request Form'!$N$34="",0,COUNTIF(B84,"*"&amp;'Change Request Form'!$N$34&amp;"*"))</f>
        <v/>
      </c>
      <c r="D84" s="91" t="n">
        <v>1</v>
      </c>
    </row>
    <row r="85">
      <c r="A85" s="102" t="n">
        <v>5664131</v>
      </c>
      <c r="B85" s="106" t="inlineStr">
        <is>
          <t>CAF CUP 4OZ DWHC</t>
        </is>
      </c>
      <c r="C85">
        <f>IF('Change Request Form'!$N$34="",0,COUNTIF(B85,"*"&amp;'Change Request Form'!$N$34&amp;"*"))</f>
        <v/>
      </c>
      <c r="D85" s="91" t="n">
        <v>1</v>
      </c>
    </row>
    <row r="86">
      <c r="A86" s="107" t="n">
        <v>5664156</v>
      </c>
      <c r="B86" s="106" t="inlineStr">
        <is>
          <t>CAF CUP 4OZ PLA23</t>
        </is>
      </c>
      <c r="C86">
        <f>IF('Change Request Form'!$N$34="",0,COUNTIF(B86,"*"&amp;'Change Request Form'!$N$34&amp;"*"))</f>
        <v/>
      </c>
      <c r="D86" s="91" t="n">
        <v>1</v>
      </c>
    </row>
    <row r="87" ht="16.8" customHeight="1">
      <c r="A87" s="108" t="n">
        <v>5664156</v>
      </c>
      <c r="B87" s="109" t="inlineStr">
        <is>
          <t xml:space="preserve">CAF CUP 4OZ PLA23 </t>
        </is>
      </c>
      <c r="C87">
        <f>IF('Change Request Form'!$N$34="",0,COUNTIF(B87,"*"&amp;'Change Request Form'!$N$34&amp;"*"))</f>
        <v/>
      </c>
      <c r="D87" s="91" t="n">
        <v>1</v>
      </c>
    </row>
    <row r="88">
      <c r="A88" s="102" t="n">
        <v>232527</v>
      </c>
      <c r="B88" s="106" t="inlineStr">
        <is>
          <t>CAF CUP 8OZ SMALL</t>
        </is>
      </c>
      <c r="C88">
        <f>IF('Change Request Form'!$N$34="",0,COUNTIF(B88,"*"&amp;'Change Request Form'!$N$34&amp;"*"))</f>
        <v/>
      </c>
    </row>
    <row r="89">
      <c r="A89" s="102" t="n">
        <v>232769</v>
      </c>
      <c r="B89" s="106" t="inlineStr">
        <is>
          <t>CAF CUP 8OZ SMALL</t>
        </is>
      </c>
      <c r="C89">
        <f>IF('Change Request Form'!$N$34="",0,COUNTIF(B89,"*"&amp;'Change Request Form'!$N$34&amp;"*"))</f>
        <v/>
      </c>
    </row>
    <row r="90">
      <c r="A90" s="102" t="n">
        <v>232521</v>
      </c>
      <c r="B90" s="106" t="inlineStr">
        <is>
          <t>CAF CUP 8OZ SMALL</t>
        </is>
      </c>
      <c r="C90">
        <f>IF('Change Request Form'!$N$34="",0,COUNTIF(B90,"*"&amp;'Change Request Form'!$N$34&amp;"*"))</f>
        <v/>
      </c>
    </row>
    <row r="91">
      <c r="A91" s="102" t="n">
        <v>4396108</v>
      </c>
      <c r="B91" s="106" t="inlineStr">
        <is>
          <t>CAF DBL CHOC MUFFIN</t>
        </is>
      </c>
      <c r="C91">
        <f>IF('Change Request Form'!$N$34="",0,COUNTIF(B91,"*"&amp;'Change Request Form'!$N$34&amp;"*"))</f>
        <v/>
      </c>
    </row>
    <row r="92">
      <c r="A92" s="102" t="n">
        <v>3772078</v>
      </c>
      <c r="B92" s="106" t="inlineStr">
        <is>
          <t>CAF DONUT CHOCOLATE</t>
        </is>
      </c>
      <c r="C92">
        <f>IF('Change Request Form'!$N$34="",0,COUNTIF(B92,"*"&amp;'Change Request Form'!$N$34&amp;"*"))</f>
        <v/>
      </c>
    </row>
    <row r="93">
      <c r="A93" s="102" t="n">
        <v>3601184</v>
      </c>
      <c r="B93" s="106" t="inlineStr">
        <is>
          <t>CAF HAM SLICES</t>
        </is>
      </c>
      <c r="C93">
        <f>IF('Change Request Form'!$N$34="",0,COUNTIF(B93,"*"&amp;'Change Request Form'!$N$34&amp;"*"))</f>
        <v/>
      </c>
    </row>
    <row r="94">
      <c r="A94" s="102" t="n">
        <v>3601182</v>
      </c>
      <c r="B94" s="106" t="inlineStr">
        <is>
          <t>CAF HAM SLICES</t>
        </is>
      </c>
      <c r="C94">
        <f>IF('Change Request Form'!$N$34="",0,COUNTIF(B94,"*"&amp;'Change Request Form'!$N$34&amp;"*"))</f>
        <v/>
      </c>
    </row>
    <row r="95">
      <c r="A95" s="102" t="n">
        <v>12487001</v>
      </c>
      <c r="B95" s="106" t="inlineStr">
        <is>
          <t>CAF HOT CROSS BUN CHOCOLATE</t>
        </is>
      </c>
      <c r="C95">
        <f>IF('Change Request Form'!$N$34="",0,COUNTIF(B95,"*"&amp;'Change Request Form'!$N$34&amp;"*"))</f>
        <v/>
      </c>
    </row>
    <row r="96">
      <c r="A96" s="102" t="n">
        <v>3214019</v>
      </c>
      <c r="B96" s="106" t="inlineStr">
        <is>
          <t>CAF HOT CROSS BUN FRUIT</t>
        </is>
      </c>
      <c r="C96">
        <f>IF('Change Request Form'!$N$34="",0,COUNTIF(B96,"*"&amp;'Change Request Form'!$N$34&amp;"*"))</f>
        <v/>
      </c>
    </row>
    <row r="97">
      <c r="A97" s="102" t="n">
        <v>8768010</v>
      </c>
      <c r="B97" s="106" t="inlineStr">
        <is>
          <t xml:space="preserve">CAF LID 4OZ </t>
        </is>
      </c>
      <c r="C97">
        <f>IF('Change Request Form'!$N$34="",0,COUNTIF(B97,"*"&amp;'Change Request Form'!$N$34&amp;"*"))</f>
        <v/>
      </c>
      <c r="D97" s="91" t="n">
        <v>1</v>
      </c>
    </row>
    <row r="98">
      <c r="A98" s="102" t="n">
        <v>8768006</v>
      </c>
      <c r="B98" s="106" t="inlineStr">
        <is>
          <t xml:space="preserve">CAF LID 4OZ </t>
        </is>
      </c>
      <c r="C98">
        <f>IF('Change Request Form'!$N$34="",0,COUNTIF(B98,"*"&amp;'Change Request Form'!$N$34&amp;"*"))</f>
        <v/>
      </c>
      <c r="D98" s="91" t="n">
        <v>1</v>
      </c>
    </row>
    <row r="99">
      <c r="A99" s="102" t="n">
        <v>7070043</v>
      </c>
      <c r="B99" s="106" t="inlineStr">
        <is>
          <t>CAF LID DOMED SMALL FRAPPE</t>
        </is>
      </c>
      <c r="C99">
        <f>IF('Change Request Form'!$N$34="",0,COUNTIF(B99,"*"&amp;'Change Request Form'!$N$34&amp;"*"))</f>
        <v/>
      </c>
      <c r="D99" s="91" t="n">
        <v>1</v>
      </c>
    </row>
    <row r="100">
      <c r="A100" s="102" t="n">
        <v>7070036</v>
      </c>
      <c r="B100" s="106" t="inlineStr">
        <is>
          <t>CAF LID DOMED SMALL FRAPPE</t>
        </is>
      </c>
      <c r="C100">
        <f>IF('Change Request Form'!$N$34="",0,COUNTIF(B100,"*"&amp;'Change Request Form'!$N$34&amp;"*"))</f>
        <v/>
      </c>
      <c r="D100" s="91" t="n">
        <v>1</v>
      </c>
    </row>
    <row r="101">
      <c r="A101" s="102" t="n">
        <v>116239</v>
      </c>
      <c r="B101" s="106" t="inlineStr">
        <is>
          <t>CAF LID DOMED SMALL FRAPPE</t>
        </is>
      </c>
      <c r="C101">
        <f>IF('Change Request Form'!$N$34="",0,COUNTIF(B101,"*"&amp;'Change Request Form'!$N$34&amp;"*"))</f>
        <v/>
      </c>
      <c r="D101" s="91" t="n">
        <v>1</v>
      </c>
    </row>
    <row r="102">
      <c r="A102" s="102" t="n">
        <v>863113</v>
      </c>
      <c r="B102" s="106" t="inlineStr">
        <is>
          <t xml:space="preserve">CAF LOAF BANA BLUEBERRY </t>
        </is>
      </c>
      <c r="C102">
        <f>IF('Change Request Form'!$N$34="",0,COUNTIF(B102,"*"&amp;'Change Request Form'!$N$34&amp;"*"))</f>
        <v/>
      </c>
    </row>
    <row r="103">
      <c r="A103" s="102" t="n">
        <v>8530019</v>
      </c>
      <c r="B103" s="106" t="inlineStr">
        <is>
          <t xml:space="preserve">CAF LOAF BANANA </t>
        </is>
      </c>
      <c r="C103">
        <f>IF('Change Request Form'!$N$34="",0,COUNTIF(B103,"*"&amp;'Change Request Form'!$N$34&amp;"*"))</f>
        <v/>
      </c>
    </row>
    <row r="104">
      <c r="A104" s="102" t="n">
        <v>10386006</v>
      </c>
      <c r="B104" s="106" t="inlineStr">
        <is>
          <t>CAF MACARON SALTED CARAMEL</t>
        </is>
      </c>
      <c r="C104">
        <f>IF('Change Request Form'!$N$34="",0,COUNTIF(B104,"*"&amp;'Change Request Form'!$N$34&amp;"*"))</f>
        <v/>
      </c>
    </row>
    <row r="105">
      <c r="A105" s="102" t="n">
        <v>6780037</v>
      </c>
      <c r="B105" s="106" t="inlineStr">
        <is>
          <t>CAF MACARONS CHOCOLATE</t>
        </is>
      </c>
      <c r="C105">
        <f>IF('Change Request Form'!$N$34="",0,COUNTIF(B105,"*"&amp;'Change Request Form'!$N$34&amp;"*"))</f>
        <v/>
      </c>
    </row>
    <row r="106">
      <c r="A106" s="102" t="n">
        <v>15427000</v>
      </c>
      <c r="B106" s="106" t="inlineStr">
        <is>
          <t>CAF MARSHMALLOWS</t>
        </is>
      </c>
      <c r="C106">
        <f>IF('Change Request Form'!$N$34="",0,COUNTIF(B106,"*"&amp;'Change Request Form'!$N$34&amp;"*"))</f>
        <v/>
      </c>
      <c r="D106" s="91" t="n">
        <v>1</v>
      </c>
    </row>
    <row r="107">
      <c r="A107" s="102" t="n">
        <v>4335064</v>
      </c>
      <c r="B107" s="106" t="inlineStr">
        <is>
          <t>CAF POWDER DRINKING CHOCOLATE</t>
        </is>
      </c>
      <c r="C107">
        <f>IF('Change Request Form'!$N$34="",0,COUNTIF(B107,"*"&amp;'Change Request Form'!$N$34&amp;"*"))</f>
        <v/>
      </c>
    </row>
    <row r="108">
      <c r="A108" s="102" t="n">
        <v>8895003</v>
      </c>
      <c r="B108" s="106" t="inlineStr">
        <is>
          <t>CAF POWDER VANILLA CHAI</t>
        </is>
      </c>
      <c r="C108">
        <f>IF('Change Request Form'!$N$34="",0,COUNTIF(B108,"*"&amp;'Change Request Form'!$N$34&amp;"*"))</f>
        <v/>
      </c>
    </row>
    <row r="109">
      <c r="A109" s="102" t="n">
        <v>13522005</v>
      </c>
      <c r="B109" s="106" t="inlineStr">
        <is>
          <t>CAF STOPPER COFFEE</t>
        </is>
      </c>
      <c r="C109">
        <f>IF('Change Request Form'!$N$34="",0,COUNTIF(B109,"*"&amp;'Change Request Form'!$N$34&amp;"*"))</f>
        <v/>
      </c>
    </row>
    <row r="110">
      <c r="A110" s="102" t="n">
        <v>7422106</v>
      </c>
      <c r="B110" s="106" t="inlineStr">
        <is>
          <t>CAF SYRUP CARAMEL</t>
        </is>
      </c>
      <c r="C110">
        <f>IF('Change Request Form'!$N$34="",0,COUNTIF(B110,"*"&amp;'Change Request Form'!$N$34&amp;"*"))</f>
        <v/>
      </c>
    </row>
    <row r="111">
      <c r="A111" s="102" t="n">
        <v>2342038</v>
      </c>
      <c r="B111" s="106" t="inlineStr">
        <is>
          <t>CAF SYRUP CREME BRULEE</t>
        </is>
      </c>
      <c r="C111">
        <f>IF('Change Request Form'!$N$34="",0,COUNTIF(B111,"*"&amp;'Change Request Form'!$N$34&amp;"*"))</f>
        <v/>
      </c>
    </row>
    <row r="112">
      <c r="A112" s="102" t="n">
        <v>7422108</v>
      </c>
      <c r="B112" s="106" t="inlineStr">
        <is>
          <t>CAF SYRUP HAZELNUT</t>
        </is>
      </c>
      <c r="C112">
        <f>IF('Change Request Form'!$N$34="",0,COUNTIF(B112,"*"&amp;'Change Request Form'!$N$34&amp;"*"))</f>
        <v/>
      </c>
    </row>
    <row r="113">
      <c r="A113" s="102" t="n">
        <v>5792019</v>
      </c>
      <c r="B113" s="106" t="inlineStr">
        <is>
          <t>CAF SYRUP SUGAR</t>
        </is>
      </c>
      <c r="C113">
        <f>IF('Change Request Form'!$N$34="",0,COUNTIF(B113,"*"&amp;'Change Request Form'!$N$34&amp;"*"))</f>
        <v/>
      </c>
    </row>
    <row r="114">
      <c r="A114" s="102" t="n">
        <v>7422107</v>
      </c>
      <c r="B114" s="106" t="inlineStr">
        <is>
          <t>CAF SYRUP VANILLA</t>
        </is>
      </c>
      <c r="C114">
        <f>IF('Change Request Form'!$N$34="",0,COUNTIF(B114,"*"&amp;'Change Request Form'!$N$34&amp;"*"))</f>
        <v/>
      </c>
    </row>
    <row r="115">
      <c r="A115" s="102" t="n">
        <v>6755100</v>
      </c>
      <c r="B115" s="106" t="inlineStr">
        <is>
          <t>CAF TEA BAGS EARL GREY</t>
        </is>
      </c>
      <c r="C115">
        <f>IF('Change Request Form'!$N$34="",0,COUNTIF(B115,"*"&amp;'Change Request Form'!$N$34&amp;"*"))</f>
        <v/>
      </c>
      <c r="D115" s="91" t="n">
        <v>1</v>
      </c>
    </row>
    <row r="116">
      <c r="A116" s="102" t="n">
        <v>2630100</v>
      </c>
      <c r="B116" s="106" t="inlineStr">
        <is>
          <t>CAF TEA BAGS ENG BFAST</t>
        </is>
      </c>
      <c r="C116">
        <f>IF('Change Request Form'!$N$34="",0,COUNTIF(B116,"*"&amp;'Change Request Form'!$N$34&amp;"*"))</f>
        <v/>
      </c>
      <c r="D116" s="91" t="n">
        <v>1</v>
      </c>
    </row>
    <row r="117">
      <c r="A117" s="102" t="n">
        <v>57203</v>
      </c>
      <c r="B117" s="106" t="inlineStr">
        <is>
          <t>CAF TEA BAGS GREEN</t>
        </is>
      </c>
      <c r="C117">
        <f>IF('Change Request Form'!$N$34="",0,COUNTIF(B117,"*"&amp;'Change Request Form'!$N$34&amp;"*"))</f>
        <v/>
      </c>
      <c r="D117" s="91" t="n">
        <v>1</v>
      </c>
    </row>
    <row r="118">
      <c r="A118" s="102" t="n">
        <v>5099102</v>
      </c>
      <c r="B118" s="106" t="inlineStr">
        <is>
          <t>CAF TEA BAGS PEPPERMINT</t>
        </is>
      </c>
      <c r="C118">
        <f>IF('Change Request Form'!$N$34="",0,COUNTIF(B118,"*"&amp;'Change Request Form'!$N$34&amp;"*"))</f>
        <v/>
      </c>
      <c r="D118" s="91" t="n">
        <v>1</v>
      </c>
    </row>
    <row r="119">
      <c r="A119" s="102" t="n">
        <v>3041025</v>
      </c>
      <c r="B119" s="106" t="inlineStr">
        <is>
          <t xml:space="preserve">CAF TOAST RAISIN </t>
        </is>
      </c>
      <c r="C119">
        <f>IF('Change Request Form'!$N$34="",0,COUNTIF(B119,"*"&amp;'Change Request Form'!$N$34&amp;"*"))</f>
        <v/>
      </c>
    </row>
    <row r="120">
      <c r="A120" s="102" t="n">
        <v>731711</v>
      </c>
      <c r="B120" s="106" t="inlineStr">
        <is>
          <t>CAF WRAP PLAIN</t>
        </is>
      </c>
      <c r="C120">
        <f>IF('Change Request Form'!$N$34="",0,COUNTIF(B120,"*"&amp;'Change Request Form'!$N$34&amp;"*"))</f>
        <v/>
      </c>
      <c r="D120" s="91" t="n">
        <v>1</v>
      </c>
    </row>
    <row r="121">
      <c r="A121" s="102" t="n">
        <v>4617027</v>
      </c>
      <c r="B121" s="106" t="inlineStr">
        <is>
          <t>CAKE ICE CREAM BIRTHDAY</t>
        </is>
      </c>
      <c r="C121">
        <f>IF('Change Request Form'!$N$34="",0,COUNTIF(B121,"*"&amp;'Change Request Form'!$N$34&amp;"*"))</f>
        <v/>
      </c>
    </row>
    <row r="122">
      <c r="A122" s="102" t="n">
        <v>8271019</v>
      </c>
      <c r="B122" s="106" t="inlineStr">
        <is>
          <t>CAN COKE</t>
        </is>
      </c>
      <c r="C122">
        <f>IF('Change Request Form'!$N$34="",0,COUNTIF(B122,"*"&amp;'Change Request Form'!$N$34&amp;"*"))</f>
        <v/>
      </c>
    </row>
    <row r="123">
      <c r="A123" s="102" t="n">
        <v>15821000</v>
      </c>
      <c r="B123" s="106" t="inlineStr">
        <is>
          <t>CAN COKE NO SUGAR</t>
        </is>
      </c>
      <c r="C123">
        <f>IF('Change Request Form'!$N$34="",0,COUNTIF(B123,"*"&amp;'Change Request Form'!$N$34&amp;"*"))</f>
        <v/>
      </c>
    </row>
    <row r="124">
      <c r="A124" s="102" t="n">
        <v>15822000</v>
      </c>
      <c r="B124" s="106" t="inlineStr">
        <is>
          <t xml:space="preserve">CAN FANTA </t>
        </is>
      </c>
      <c r="C124">
        <f>IF('Change Request Form'!$N$34="",0,COUNTIF(B124,"*"&amp;'Change Request Form'!$N$34&amp;"*"))</f>
        <v/>
      </c>
    </row>
    <row r="125">
      <c r="A125" s="102" t="n">
        <v>5148038</v>
      </c>
      <c r="B125" s="106" t="inlineStr">
        <is>
          <t>CAN SPRITE</t>
        </is>
      </c>
      <c r="C125">
        <f>IF('Change Request Form'!$N$34="",0,COUNTIF(B125,"*"&amp;'Change Request Form'!$N$34&amp;"*"))</f>
        <v/>
      </c>
    </row>
    <row r="126">
      <c r="A126" s="102" t="n">
        <v>3557080</v>
      </c>
      <c r="B126" s="106" t="inlineStr">
        <is>
          <t>CHEESE MOZZARELLA STICK</t>
        </is>
      </c>
      <c r="C126">
        <f>IF('Change Request Form'!$N$34="",0,COUNTIF(B126,"*"&amp;'Change Request Form'!$N$34&amp;"*"))</f>
        <v/>
      </c>
    </row>
    <row r="127">
      <c r="A127" s="102" t="n">
        <v>3388076</v>
      </c>
      <c r="B127" s="106" t="inlineStr">
        <is>
          <t xml:space="preserve">CHEESE PARMESAN SHAVED </t>
        </is>
      </c>
      <c r="C127">
        <f>IF('Change Request Form'!$N$34="",0,COUNTIF(B127,"*"&amp;'Change Request Form'!$N$34&amp;"*"))</f>
        <v/>
      </c>
      <c r="D127" s="91" t="n">
        <v>1</v>
      </c>
    </row>
    <row r="128">
      <c r="A128" s="102" t="n">
        <v>6819026</v>
      </c>
      <c r="B128" s="106" t="inlineStr">
        <is>
          <t>CHEESE PATTY</t>
        </is>
      </c>
      <c r="C128">
        <f>IF('Change Request Form'!$N$34="",0,COUNTIF(B128,"*"&amp;'Change Request Form'!$N$34&amp;"*"))</f>
        <v/>
      </c>
    </row>
    <row r="129">
      <c r="A129" s="102" t="n">
        <v>14443001</v>
      </c>
      <c r="B129" s="106" t="inlineStr">
        <is>
          <t>CHEESE SLICE AUS JACK</t>
        </is>
      </c>
      <c r="C129">
        <f>IF('Change Request Form'!$N$34="",0,COUNTIF(B129,"*"&amp;'Change Request Form'!$N$34&amp;"*"))</f>
        <v/>
      </c>
    </row>
    <row r="130">
      <c r="A130" s="102" t="n">
        <v>13300</v>
      </c>
      <c r="B130" s="106" t="inlineStr">
        <is>
          <t>CHEESE SLICES REGULAR</t>
        </is>
      </c>
      <c r="C130">
        <f>IF('Change Request Form'!$N$34="",0,COUNTIF(B130,"*"&amp;'Change Request Form'!$N$34&amp;"*"))</f>
        <v/>
      </c>
    </row>
    <row r="131">
      <c r="A131" s="102" t="n">
        <v>13314</v>
      </c>
      <c r="B131" s="106" t="inlineStr">
        <is>
          <t>CHEESE SLICES REGULAR</t>
        </is>
      </c>
      <c r="C131">
        <f>IF('Change Request Form'!$N$34="",0,COUNTIF(B131,"*"&amp;'Change Request Form'!$N$34&amp;"*"))</f>
        <v/>
      </c>
    </row>
    <row r="132">
      <c r="A132" s="102" t="n">
        <v>16637001</v>
      </c>
      <c r="B132" s="106" t="inlineStr">
        <is>
          <t>CHICK PATTY BIG MAC</t>
        </is>
      </c>
      <c r="C132">
        <f>IF('Change Request Form'!$N$34="",0,COUNTIF(B132,"*"&amp;'Change Request Form'!$N$34&amp;"*"))</f>
        <v/>
      </c>
    </row>
    <row r="133">
      <c r="A133" s="102" t="n">
        <v>5462012</v>
      </c>
      <c r="B133" s="106" t="inlineStr">
        <is>
          <t>CHICKEN BITES</t>
        </is>
      </c>
      <c r="C133">
        <f>IF('Change Request Form'!$N$34="",0,COUNTIF(B133,"*"&amp;'Change Request Form'!$N$34&amp;"*"))</f>
        <v/>
      </c>
    </row>
    <row r="134">
      <c r="A134" s="102" t="n">
        <v>1242414</v>
      </c>
      <c r="B134" s="106" t="inlineStr">
        <is>
          <t>CHICKEN CRISPY WM</t>
        </is>
      </c>
      <c r="C134">
        <f>IF('Change Request Form'!$N$34="",0,COUNTIF(B134,"*"&amp;'Change Request Form'!$N$34&amp;"*"))</f>
        <v/>
      </c>
    </row>
    <row r="135">
      <c r="A135" s="102" t="n">
        <v>1242434</v>
      </c>
      <c r="B135" s="106" t="inlineStr">
        <is>
          <t>CHICKEN CRISPY WM</t>
        </is>
      </c>
      <c r="C135">
        <f>IF('Change Request Form'!$N$34="",0,COUNTIF(B135,"*"&amp;'Change Request Form'!$N$34&amp;"*"))</f>
        <v/>
      </c>
    </row>
    <row r="136">
      <c r="A136" s="102" t="n">
        <v>1242436</v>
      </c>
      <c r="B136" s="106" t="inlineStr">
        <is>
          <t>CHICKEN CRISPY WM</t>
        </is>
      </c>
      <c r="C136">
        <f>IF('Change Request Form'!$N$34="",0,COUNTIF(B136,"*"&amp;'Change Request Form'!$N$34&amp;"*"))</f>
        <v/>
      </c>
    </row>
    <row r="137">
      <c r="A137" s="102" t="n">
        <v>1242437</v>
      </c>
      <c r="B137" s="106" t="inlineStr">
        <is>
          <t>CHICKEN CRISPY WM</t>
        </is>
      </c>
      <c r="C137">
        <f>IF('Change Request Form'!$N$34="",0,COUNTIF(B137,"*"&amp;'Change Request Form'!$N$34&amp;"*"))</f>
        <v/>
      </c>
    </row>
    <row r="138">
      <c r="A138" s="102" t="n">
        <v>1242410</v>
      </c>
      <c r="B138" s="106" t="inlineStr">
        <is>
          <t>CHICKEN CRISPY WM</t>
        </is>
      </c>
      <c r="C138">
        <f>IF('Change Request Form'!$N$34="",0,COUNTIF(B138,"*"&amp;'Change Request Form'!$N$34&amp;"*"))</f>
        <v/>
      </c>
    </row>
    <row r="139">
      <c r="A139" s="102" t="n">
        <v>3439324</v>
      </c>
      <c r="B139" s="106" t="inlineStr">
        <is>
          <t>CHICKEN GRILL CYT</t>
        </is>
      </c>
      <c r="C139">
        <f>IF('Change Request Form'!$N$34="",0,COUNTIF(B139,"*"&amp;'Change Request Form'!$N$34&amp;"*"))</f>
        <v/>
      </c>
    </row>
    <row r="140">
      <c r="A140" s="102" t="n">
        <v>3439210</v>
      </c>
      <c r="B140" s="106" t="inlineStr">
        <is>
          <t>CHICKEN GRILL CYT</t>
        </is>
      </c>
      <c r="C140">
        <f>IF('Change Request Form'!$N$34="",0,COUNTIF(B140,"*"&amp;'Change Request Form'!$N$34&amp;"*"))</f>
        <v/>
      </c>
    </row>
    <row r="141">
      <c r="A141" s="102" t="n">
        <v>4887030</v>
      </c>
      <c r="B141" s="106" t="inlineStr">
        <is>
          <t xml:space="preserve">CHICKEN MCNUGGET SPICY  </t>
        </is>
      </c>
      <c r="C141">
        <f>IF('Change Request Form'!$N$34="",0,COUNTIF(B141,"*"&amp;'Change Request Form'!$N$34&amp;"*"))</f>
        <v/>
      </c>
    </row>
    <row r="142">
      <c r="A142" s="102" t="n">
        <v>407938</v>
      </c>
      <c r="B142" s="106" t="inlineStr">
        <is>
          <t>CHICKEN MCNUGGETS</t>
        </is>
      </c>
      <c r="C142">
        <f>IF('Change Request Form'!$N$34="",0,COUNTIF(B142,"*"&amp;'Change Request Form'!$N$34&amp;"*"))</f>
        <v/>
      </c>
    </row>
    <row r="143">
      <c r="A143" s="102" t="n">
        <v>407952</v>
      </c>
      <c r="B143" s="106" t="inlineStr">
        <is>
          <t>CHICKEN MCNUGGETS</t>
        </is>
      </c>
      <c r="C143">
        <f>IF('Change Request Form'!$N$34="",0,COUNTIF(B143,"*"&amp;'Change Request Form'!$N$34&amp;"*"))</f>
        <v/>
      </c>
    </row>
    <row r="144">
      <c r="A144" s="102" t="n">
        <v>407933</v>
      </c>
      <c r="B144" s="106" t="inlineStr">
        <is>
          <t>CHICKEN MCNUGGETS</t>
        </is>
      </c>
      <c r="C144">
        <f>IF('Change Request Form'!$N$34="",0,COUNTIF(B144,"*"&amp;'Change Request Form'!$N$34&amp;"*"))</f>
        <v/>
      </c>
    </row>
    <row r="145">
      <c r="A145" s="102" t="n">
        <v>407934</v>
      </c>
      <c r="B145" s="106" t="inlineStr">
        <is>
          <t>CHICKEN MCNUGGETS</t>
        </is>
      </c>
      <c r="C145">
        <f>IF('Change Request Form'!$N$34="",0,COUNTIF(B145,"*"&amp;'Change Request Form'!$N$34&amp;"*"))</f>
        <v/>
      </c>
    </row>
    <row r="146">
      <c r="A146" s="102" t="n">
        <v>407936</v>
      </c>
      <c r="B146" s="106" t="inlineStr">
        <is>
          <t>CHICKEN MCNUGGETS</t>
        </is>
      </c>
      <c r="C146">
        <f>IF('Change Request Form'!$N$34="",0,COUNTIF(B146,"*"&amp;'Change Request Form'!$N$34&amp;"*"))</f>
        <v/>
      </c>
    </row>
    <row r="147">
      <c r="A147" s="102" t="n">
        <v>407937</v>
      </c>
      <c r="B147" s="106" t="inlineStr">
        <is>
          <t>CHICKEN MCNUGGETS</t>
        </is>
      </c>
      <c r="C147">
        <f>IF('Change Request Form'!$N$34="",0,COUNTIF(B147,"*"&amp;'Change Request Form'!$N$34&amp;"*"))</f>
        <v/>
      </c>
    </row>
    <row r="148">
      <c r="A148" s="102" t="n">
        <v>7350</v>
      </c>
      <c r="B148" s="106" t="inlineStr">
        <is>
          <t>CHICKEN PATTIES MCCHICKEN</t>
        </is>
      </c>
      <c r="C148">
        <f>IF('Change Request Form'!$N$34="",0,COUNTIF(B148,"*"&amp;'Change Request Form'!$N$34&amp;"*"))</f>
        <v/>
      </c>
    </row>
    <row r="149">
      <c r="A149" t="n">
        <v>7362</v>
      </c>
      <c r="B149" t="inlineStr">
        <is>
          <t>CHICK PATTIES FC</t>
        </is>
      </c>
    </row>
    <row r="150">
      <c r="A150" t="n">
        <v>7350</v>
      </c>
      <c r="B150" t="inlineStr">
        <is>
          <t>CHICK PATTIES FC</t>
        </is>
      </c>
    </row>
    <row r="151">
      <c r="A151" s="102" t="n">
        <v>7347</v>
      </c>
      <c r="B151" s="106" t="inlineStr">
        <is>
          <t>CHICKEN PATTIES MCCHICKEN</t>
        </is>
      </c>
      <c r="C151">
        <f>IF('Change Request Form'!$N$34="",0,COUNTIF(B151,"*"&amp;'Change Request Form'!$N$34&amp;"*"))</f>
        <v/>
      </c>
    </row>
    <row r="152">
      <c r="A152" s="102" t="n">
        <v>7221</v>
      </c>
      <c r="B152" s="106" t="inlineStr">
        <is>
          <t>CHICKEN PATTIES MCCHICKEN</t>
        </is>
      </c>
      <c r="C152">
        <f>IF('Change Request Form'!$N$34="",0,COUNTIF(B152,"*"&amp;'Change Request Form'!$N$34&amp;"*"))</f>
        <v/>
      </c>
    </row>
    <row r="153">
      <c r="A153" s="102" t="n">
        <v>7227</v>
      </c>
      <c r="B153" s="106" t="inlineStr">
        <is>
          <t>CHICKEN PATTIES MCCHICKEN</t>
        </is>
      </c>
      <c r="C153">
        <f>IF('Change Request Form'!$N$34="",0,COUNTIF(B153,"*"&amp;'Change Request Form'!$N$34&amp;"*"))</f>
        <v/>
      </c>
    </row>
    <row r="154">
      <c r="A154" s="102" t="n">
        <v>1668110</v>
      </c>
      <c r="B154" s="106" t="inlineStr">
        <is>
          <t>CHICKEN PATTIES SPICY</t>
        </is>
      </c>
      <c r="C154">
        <f>IF('Change Request Form'!$N$34="",0,COUNTIF(B154,"*"&amp;'Change Request Form'!$N$34&amp;"*"))</f>
        <v/>
      </c>
    </row>
    <row r="155">
      <c r="A155" s="102" t="n">
        <v>1668118</v>
      </c>
      <c r="B155" s="106" t="inlineStr">
        <is>
          <t>CHICKEN PATTIES SPICY</t>
        </is>
      </c>
      <c r="C155">
        <f>IF('Change Request Form'!$N$34="",0,COUNTIF(B155,"*"&amp;'Change Request Form'!$N$34&amp;"*"))</f>
        <v/>
      </c>
    </row>
    <row r="156">
      <c r="A156" s="102" t="n">
        <v>1668109</v>
      </c>
      <c r="B156" s="106" t="inlineStr">
        <is>
          <t>CHICKEN PATTIES SPICY</t>
        </is>
      </c>
      <c r="C156">
        <f>IF('Change Request Form'!$N$34="",0,COUNTIF(B156,"*"&amp;'Change Request Form'!$N$34&amp;"*"))</f>
        <v/>
      </c>
    </row>
    <row r="157">
      <c r="A157" s="102" t="n">
        <v>15443004</v>
      </c>
      <c r="B157" s="106" t="inlineStr">
        <is>
          <t>CHOC SOFT SERVE UHT</t>
        </is>
      </c>
      <c r="C157">
        <f>IF('Change Request Form'!$N$34="",0,COUNTIF(B157,"*"&amp;'Change Request Form'!$N$34&amp;"*"))</f>
        <v/>
      </c>
    </row>
    <row r="158">
      <c r="A158" s="102" t="n">
        <v>15443005</v>
      </c>
      <c r="B158" s="106" t="inlineStr">
        <is>
          <t>CHOC SOFT SERVE UHT</t>
        </is>
      </c>
      <c r="C158">
        <f>IF('Change Request Form'!$N$34="",0,COUNTIF(B158,"*"&amp;'Change Request Form'!$N$34&amp;"*"))</f>
        <v/>
      </c>
    </row>
    <row r="159">
      <c r="A159" s="102" t="n">
        <v>3454054</v>
      </c>
      <c r="B159" s="106" t="inlineStr">
        <is>
          <t>CHOCOLATE FLAKE</t>
        </is>
      </c>
      <c r="C159">
        <f>IF('Change Request Form'!$N$34="",0,COUNTIF(B159,"*"&amp;'Change Request Form'!$N$34&amp;"*"))</f>
        <v/>
      </c>
      <c r="D159" s="91" t="n">
        <v>1</v>
      </c>
    </row>
    <row r="160">
      <c r="A160" s="102" t="n">
        <v>718007</v>
      </c>
      <c r="B160" s="106" t="inlineStr">
        <is>
          <t>CHOCOLATE FLAKE</t>
        </is>
      </c>
      <c r="C160">
        <f>IF('Change Request Form'!$N$34="",0,COUNTIF(B160,"*"&amp;'Change Request Form'!$N$34&amp;"*"))</f>
        <v/>
      </c>
      <c r="D160" s="91" t="n">
        <v>1</v>
      </c>
    </row>
    <row r="161">
      <c r="A161" s="102" t="n">
        <v>12254186</v>
      </c>
      <c r="B161" s="106" t="inlineStr">
        <is>
          <t>CLAM ANGUS BEEF</t>
        </is>
      </c>
      <c r="C161">
        <f>IF('Change Request Form'!$N$34="",0,COUNTIF(B161,"*"&amp;'Change Request Form'!$N$34&amp;"*"))</f>
        <v/>
      </c>
    </row>
    <row r="162">
      <c r="A162" s="102" t="n">
        <v>12254187</v>
      </c>
      <c r="B162" s="106" t="inlineStr">
        <is>
          <t>CLAM ANGUS BEEF</t>
        </is>
      </c>
      <c r="C162">
        <f>IF('Change Request Form'!$N$34="",0,COUNTIF(B162,"*"&amp;'Change Request Form'!$N$34&amp;"*"))</f>
        <v/>
      </c>
    </row>
    <row r="163">
      <c r="A163" s="102" t="n">
        <v>12254195</v>
      </c>
      <c r="B163" s="106" t="inlineStr">
        <is>
          <t>CLAM ANGUS DELUXE</t>
        </is>
      </c>
      <c r="C163">
        <f>IF('Change Request Form'!$N$34="",0,COUNTIF(B163,"*"&amp;'Change Request Form'!$N$34&amp;"*"))</f>
        <v/>
      </c>
    </row>
    <row r="164">
      <c r="A164" s="102" t="n">
        <v>34105</v>
      </c>
      <c r="B164" s="106" t="inlineStr">
        <is>
          <t>CLAM BIG BREKKIE BURGER</t>
        </is>
      </c>
      <c r="C164">
        <f>IF('Change Request Form'!$N$34="",0,COUNTIF(B164,"*"&amp;'Change Request Form'!$N$34&amp;"*"))</f>
        <v/>
      </c>
      <c r="D164" s="91" t="n">
        <v>1</v>
      </c>
    </row>
    <row r="165">
      <c r="A165" s="102" t="n">
        <v>34106</v>
      </c>
      <c r="B165" s="106" t="inlineStr">
        <is>
          <t>CLAM BIG BREKKIE BURGER</t>
        </is>
      </c>
      <c r="C165">
        <f>IF('Change Request Form'!$N$34="",0,COUNTIF(B165,"*"&amp;'Change Request Form'!$N$34&amp;"*"))</f>
        <v/>
      </c>
      <c r="D165" s="91" t="n">
        <v>1</v>
      </c>
    </row>
    <row r="166">
      <c r="A166" s="102" t="n">
        <v>295431</v>
      </c>
      <c r="B166" s="106" t="inlineStr">
        <is>
          <t>CLAM BIG MAC</t>
        </is>
      </c>
      <c r="C166">
        <f>IF('Change Request Form'!$N$34="",0,COUNTIF(B166,"*"&amp;'Change Request Form'!$N$34&amp;"*"))</f>
        <v/>
      </c>
    </row>
    <row r="167">
      <c r="A167" s="102" t="n">
        <v>295434</v>
      </c>
      <c r="B167" s="106" t="inlineStr">
        <is>
          <t>CLAM BIG MAC</t>
        </is>
      </c>
      <c r="C167">
        <f>IF('Change Request Form'!$N$34="",0,COUNTIF(B167,"*"&amp;'Change Request Form'!$N$34&amp;"*"))</f>
        <v/>
      </c>
    </row>
    <row r="168">
      <c r="A168" s="102" t="n">
        <v>295710</v>
      </c>
      <c r="B168" s="106" t="inlineStr">
        <is>
          <t>CLAM BIG MAC CHICKEN</t>
        </is>
      </c>
      <c r="C168">
        <f>IF('Change Request Form'!$N$34="",0,COUNTIF(B168,"*"&amp;'Change Request Form'!$N$34&amp;"*"))</f>
        <v/>
      </c>
    </row>
    <row r="169">
      <c r="A169" s="102" t="n">
        <v>12254200</v>
      </c>
      <c r="B169" s="106" t="inlineStr">
        <is>
          <t>CLAM CHEESY BEEF</t>
        </is>
      </c>
      <c r="C169">
        <f>IF('Change Request Form'!$N$34="",0,COUNTIF(B169,"*"&amp;'Change Request Form'!$N$34&amp;"*"))</f>
        <v/>
      </c>
    </row>
    <row r="170">
      <c r="A170" s="102" t="n">
        <v>360554</v>
      </c>
      <c r="B170" s="106" t="inlineStr">
        <is>
          <t>CLAM CHEESY CHICKEN</t>
        </is>
      </c>
      <c r="C170">
        <f>IF('Change Request Form'!$N$34="",0,COUNTIF(B170,"*"&amp;'Change Request Form'!$N$34&amp;"*"))</f>
        <v/>
      </c>
    </row>
    <row r="171">
      <c r="A171" s="102" t="n">
        <v>360389</v>
      </c>
      <c r="B171" s="106" t="inlineStr">
        <is>
          <t>CLAM CHICKEN MULTI</t>
        </is>
      </c>
      <c r="C171">
        <f>IF('Change Request Form'!$N$34="",0,COUNTIF(B171,"*"&amp;'Change Request Form'!$N$34&amp;"*"))</f>
        <v/>
      </c>
    </row>
    <row r="172">
      <c r="A172" s="102" t="n">
        <v>360395</v>
      </c>
      <c r="B172" s="106" t="inlineStr">
        <is>
          <t>CLAM CHICKEN MULTI</t>
        </is>
      </c>
      <c r="C172">
        <f>IF('Change Request Form'!$N$34="",0,COUNTIF(B172,"*"&amp;'Change Request Form'!$N$34&amp;"*"))</f>
        <v/>
      </c>
    </row>
    <row r="173">
      <c r="A173" s="102" t="n">
        <v>1205349</v>
      </c>
      <c r="B173" s="106" t="inlineStr">
        <is>
          <t>CLAM DOUBLE QUARTER POUNDER</t>
        </is>
      </c>
      <c r="C173">
        <f>IF('Change Request Form'!$N$34="",0,COUNTIF(B173,"*"&amp;'Change Request Form'!$N$34&amp;"*"))</f>
        <v/>
      </c>
    </row>
    <row r="174">
      <c r="A174" s="102" t="n">
        <v>1205350</v>
      </c>
      <c r="B174" s="106" t="inlineStr">
        <is>
          <t>CLAM DOUBLE QUARTER POUNDER</t>
        </is>
      </c>
      <c r="C174">
        <f>IF('Change Request Form'!$N$34="",0,COUNTIF(B174,"*"&amp;'Change Request Form'!$N$34&amp;"*"))</f>
        <v/>
      </c>
    </row>
    <row r="175">
      <c r="A175" s="102" t="n">
        <v>311134</v>
      </c>
      <c r="B175" s="106" t="inlineStr">
        <is>
          <t>CLAM FILET-O-FISH</t>
        </is>
      </c>
      <c r="C175">
        <f>IF('Change Request Form'!$N$34="",0,COUNTIF(B175,"*"&amp;'Change Request Form'!$N$34&amp;"*"))</f>
        <v/>
      </c>
    </row>
    <row r="176">
      <c r="A176" s="102" t="n">
        <v>311133</v>
      </c>
      <c r="B176" s="106" t="inlineStr">
        <is>
          <t>CLAM FILET-O-FISH</t>
        </is>
      </c>
      <c r="C176">
        <f>IF('Change Request Form'!$N$34="",0,COUNTIF(B176,"*"&amp;'Change Request Form'!$N$34&amp;"*"))</f>
        <v/>
      </c>
    </row>
    <row r="177">
      <c r="A177" s="102" t="n">
        <v>325119</v>
      </c>
      <c r="B177" s="106" t="inlineStr">
        <is>
          <t>CLAM GENERIC 4.5 INCH TALL</t>
        </is>
      </c>
      <c r="C177">
        <f>IF('Change Request Form'!$N$34="",0,COUNTIF(B177,"*"&amp;'Change Request Form'!$N$34&amp;"*"))</f>
        <v/>
      </c>
    </row>
    <row r="178">
      <c r="A178" s="102" t="n">
        <v>1205318</v>
      </c>
      <c r="B178" s="106" t="inlineStr">
        <is>
          <t>CLAM GENERIC EXTRA LARGE</t>
        </is>
      </c>
      <c r="C178">
        <f>IF('Change Request Form'!$N$34="",0,COUNTIF(B178,"*"&amp;'Change Request Form'!$N$34&amp;"*"))</f>
        <v/>
      </c>
    </row>
    <row r="179">
      <c r="A179" s="102" t="n">
        <v>1205317</v>
      </c>
      <c r="B179" s="106" t="inlineStr">
        <is>
          <t>CLAM GENERIC LARGE</t>
        </is>
      </c>
      <c r="C179">
        <f>IF('Change Request Form'!$N$34="",0,COUNTIF(B179,"*"&amp;'Change Request Form'!$N$34&amp;"*"))</f>
        <v/>
      </c>
    </row>
    <row r="180">
      <c r="A180" s="102" t="n">
        <v>1205316</v>
      </c>
      <c r="B180" s="106" t="inlineStr">
        <is>
          <t>CLAM GENERIC LARGE</t>
        </is>
      </c>
      <c r="C180">
        <f>IF('Change Request Form'!$N$34="",0,COUNTIF(B180,"*"&amp;'Change Request Form'!$N$34&amp;"*"))</f>
        <v/>
      </c>
    </row>
    <row r="181">
      <c r="A181" s="102" t="n">
        <v>325104</v>
      </c>
      <c r="B181" s="106" t="inlineStr">
        <is>
          <t xml:space="preserve">CLAM GENERIC SMALL </t>
        </is>
      </c>
      <c r="C181">
        <f>IF('Change Request Form'!$N$34="",0,COUNTIF(B181,"*"&amp;'Change Request Form'!$N$34&amp;"*"))</f>
        <v/>
      </c>
    </row>
    <row r="182">
      <c r="A182" s="102" t="n">
        <v>7224046</v>
      </c>
      <c r="B182" s="106" t="inlineStr">
        <is>
          <t>CLAM HOTCAKE</t>
        </is>
      </c>
      <c r="C182">
        <f>IF('Change Request Form'!$N$34="",0,COUNTIF(B182,"*"&amp;'Change Request Form'!$N$34&amp;"*"))</f>
        <v/>
      </c>
    </row>
    <row r="183">
      <c r="A183" s="102" t="n">
        <v>7224051</v>
      </c>
      <c r="B183" s="106" t="inlineStr">
        <is>
          <t>CLAM HOTCAKE</t>
        </is>
      </c>
      <c r="C183">
        <f>IF('Change Request Form'!$N$34="",0,COUNTIF(B183,"*"&amp;'Change Request Form'!$N$34&amp;"*"))</f>
        <v/>
      </c>
    </row>
    <row r="184">
      <c r="A184" s="102" t="n">
        <v>360386</v>
      </c>
      <c r="B184" s="106" t="inlineStr">
        <is>
          <t>CLAM MCCHICKEN</t>
        </is>
      </c>
      <c r="C184">
        <f>IF('Change Request Form'!$N$34="",0,COUNTIF(B184,"*"&amp;'Change Request Form'!$N$34&amp;"*"))</f>
        <v/>
      </c>
    </row>
    <row r="185">
      <c r="A185" s="102" t="n">
        <v>360401</v>
      </c>
      <c r="B185" s="106" t="inlineStr">
        <is>
          <t>CLAM MCCHICKEN</t>
        </is>
      </c>
      <c r="C185">
        <f>IF('Change Request Form'!$N$34="",0,COUNTIF(B185,"*"&amp;'Change Request Form'!$N$34&amp;"*"))</f>
        <v/>
      </c>
    </row>
    <row r="186">
      <c r="A186" s="102" t="n">
        <v>360589</v>
      </c>
      <c r="B186" s="106" t="inlineStr">
        <is>
          <t>CLAM MCCRISPY BACON DELUXE</t>
        </is>
      </c>
      <c r="C186">
        <f>IF('Change Request Form'!$N$34="",0,COUNTIF(B186,"*"&amp;'Change Request Form'!$N$34&amp;"*"))</f>
        <v/>
      </c>
    </row>
    <row r="187">
      <c r="A187" s="102" t="n">
        <v>360602</v>
      </c>
      <c r="B187" s="106" t="inlineStr">
        <is>
          <t>CLAM MCCRISPY CHICKEN</t>
        </is>
      </c>
      <c r="C187">
        <f>IF('Change Request Form'!$N$34="",0,COUNTIF(B187,"*"&amp;'Change Request Form'!$N$34&amp;"*"))</f>
        <v/>
      </c>
    </row>
    <row r="188">
      <c r="A188" s="102" t="n">
        <v>360578</v>
      </c>
      <c r="B188" s="106" t="inlineStr">
        <is>
          <t>CLAM MCCRISPY CHICKEN</t>
        </is>
      </c>
      <c r="C188">
        <f>IF('Change Request Form'!$N$34="",0,COUNTIF(B188,"*"&amp;'Change Request Form'!$N$34&amp;"*"))</f>
        <v/>
      </c>
    </row>
    <row r="189">
      <c r="A189" s="102" t="n">
        <v>360563</v>
      </c>
      <c r="B189" s="106" t="inlineStr">
        <is>
          <t>CLAM MCCRISPY CHICKEN</t>
        </is>
      </c>
      <c r="C189">
        <f>IF('Change Request Form'!$N$34="",0,COUNTIF(B189,"*"&amp;'Change Request Form'!$N$34&amp;"*"))</f>
        <v/>
      </c>
    </row>
    <row r="190">
      <c r="A190" s="102" t="n">
        <v>360599</v>
      </c>
      <c r="B190" s="106" t="inlineStr">
        <is>
          <t>CLAM MCCRISPY CHICKEN DELUXE</t>
        </is>
      </c>
      <c r="C190">
        <f>IF('Change Request Form'!$N$34="",0,COUNTIF(B190,"*"&amp;'Change Request Form'!$N$34&amp;"*"))</f>
        <v/>
      </c>
    </row>
    <row r="191">
      <c r="A191" s="102" t="n">
        <v>360577</v>
      </c>
      <c r="B191" s="106" t="inlineStr">
        <is>
          <t>CLAM MCCRISPY CHICKEN DELUXE</t>
        </is>
      </c>
      <c r="C191">
        <f>IF('Change Request Form'!$N$34="",0,COUNTIF(B191,"*"&amp;'Change Request Form'!$N$34&amp;"*"))</f>
        <v/>
      </c>
    </row>
    <row r="192">
      <c r="A192" s="102" t="n">
        <v>360565</v>
      </c>
      <c r="B192" s="106" t="inlineStr">
        <is>
          <t>CLAM MCCRISPY CHICKEN DELUXE</t>
        </is>
      </c>
      <c r="C192">
        <f>IF('Change Request Form'!$N$34="",0,COUNTIF(B192,"*"&amp;'Change Request Form'!$N$34&amp;"*"))</f>
        <v/>
      </c>
    </row>
    <row r="193">
      <c r="A193" s="102" t="n">
        <v>268299</v>
      </c>
      <c r="B193" s="106" t="inlineStr">
        <is>
          <t>CLAM McNUGGET 6 PCE</t>
        </is>
      </c>
      <c r="C193">
        <f>IF('Change Request Form'!$N$34="",0,COUNTIF(B193,"*"&amp;'Change Request Form'!$N$34&amp;"*"))</f>
        <v/>
      </c>
    </row>
    <row r="194">
      <c r="A194" s="102" t="n">
        <v>268302</v>
      </c>
      <c r="B194" s="106" t="inlineStr">
        <is>
          <t>CLAM McNUGGET 6 PCE</t>
        </is>
      </c>
      <c r="C194">
        <f>IF('Change Request Form'!$N$34="",0,COUNTIF(B194,"*"&amp;'Change Request Form'!$N$34&amp;"*"))</f>
        <v/>
      </c>
    </row>
    <row r="195">
      <c r="A195" s="102" t="n">
        <v>3157079</v>
      </c>
      <c r="B195" s="106" t="inlineStr">
        <is>
          <t>CLAM McNUGGET 6 PCE SPICY</t>
        </is>
      </c>
      <c r="C195">
        <f>IF('Change Request Form'!$N$34="",0,COUNTIF(B195,"*"&amp;'Change Request Form'!$N$34&amp;"*"))</f>
        <v/>
      </c>
    </row>
    <row r="196">
      <c r="A196" s="102" t="n">
        <v>5768121</v>
      </c>
      <c r="B196" s="106" t="inlineStr">
        <is>
          <t>CLAM McRIB</t>
        </is>
      </c>
      <c r="C196">
        <f>IF('Change Request Form'!$N$34="",0,COUNTIF(B196,"*"&amp;'Change Request Form'!$N$34&amp;"*"))</f>
        <v/>
      </c>
    </row>
    <row r="197">
      <c r="A197" s="102" t="n">
        <v>5768123</v>
      </c>
      <c r="B197" s="106" t="inlineStr">
        <is>
          <t>CLAM McRIB DELUXE</t>
        </is>
      </c>
      <c r="C197">
        <f>IF('Change Request Form'!$N$34="",0,COUNTIF(B197,"*"&amp;'Change Request Form'!$N$34&amp;"*"))</f>
        <v/>
      </c>
    </row>
    <row r="198">
      <c r="A198" s="102" t="n">
        <v>325113</v>
      </c>
      <c r="B198" s="106" t="inlineStr">
        <is>
          <t>CLAM MCSPICY</t>
        </is>
      </c>
      <c r="C198">
        <f>IF('Change Request Form'!$N$34="",0,COUNTIF(B198,"*"&amp;'Change Request Form'!$N$34&amp;"*"))</f>
        <v/>
      </c>
    </row>
    <row r="199">
      <c r="A199" s="102" t="n">
        <v>325114</v>
      </c>
      <c r="B199" s="106" t="inlineStr">
        <is>
          <t>CLAM MCSPICY</t>
        </is>
      </c>
      <c r="C199">
        <f>IF('Change Request Form'!$N$34="",0,COUNTIF(B199,"*"&amp;'Change Request Form'!$N$34&amp;"*"))</f>
        <v/>
      </c>
    </row>
    <row r="200">
      <c r="A200" s="102" t="n">
        <v>312028</v>
      </c>
      <c r="B200" s="106" t="inlineStr">
        <is>
          <t>CLAM MIGHTY MCMUFFIN</t>
        </is>
      </c>
      <c r="C200">
        <f>IF('Change Request Form'!$N$34="",0,COUNTIF(B200,"*"&amp;'Change Request Form'!$N$34&amp;"*"))</f>
        <v/>
      </c>
    </row>
    <row r="201">
      <c r="A201" s="102" t="n">
        <v>296812</v>
      </c>
      <c r="B201" s="106" t="inlineStr">
        <is>
          <t>CLAM QUARTER POUNDER</t>
        </is>
      </c>
      <c r="C201">
        <f>IF('Change Request Form'!$N$34="",0,COUNTIF(B201,"*"&amp;'Change Request Form'!$N$34&amp;"*"))</f>
        <v/>
      </c>
    </row>
    <row r="202">
      <c r="A202" s="102" t="n">
        <v>360248</v>
      </c>
      <c r="B202" s="106" t="inlineStr">
        <is>
          <t>CLAM QUARTER POUNDER</t>
        </is>
      </c>
      <c r="C202">
        <f>IF('Change Request Form'!$N$34="",0,COUNTIF(B202,"*"&amp;'Change Request Form'!$N$34&amp;"*"))</f>
        <v/>
      </c>
    </row>
    <row r="203">
      <c r="A203" s="102" t="n">
        <v>1007221</v>
      </c>
      <c r="B203" s="106" t="inlineStr">
        <is>
          <t>COFFEE BEAN</t>
        </is>
      </c>
      <c r="C203">
        <f>IF('Change Request Form'!$N$34="",0,COUNTIF(B203,"*"&amp;'Change Request Form'!$N$34&amp;"*"))</f>
        <v/>
      </c>
    </row>
    <row r="204">
      <c r="A204" s="102" t="n">
        <v>1007180</v>
      </c>
      <c r="B204" s="106" t="inlineStr">
        <is>
          <t>COFFEE BEAN</t>
        </is>
      </c>
      <c r="C204">
        <f>IF('Change Request Form'!$N$34="",0,COUNTIF(B204,"*"&amp;'Change Request Form'!$N$34&amp;"*"))</f>
        <v/>
      </c>
    </row>
    <row r="205">
      <c r="A205" s="102" t="n">
        <v>411007</v>
      </c>
      <c r="B205" s="106" t="inlineStr">
        <is>
          <t>COND HONEY PORTION</t>
        </is>
      </c>
      <c r="C205">
        <f>IF('Change Request Form'!$N$34="",0,COUNTIF(B205,"*"&amp;'Change Request Form'!$N$34&amp;"*"))</f>
        <v/>
      </c>
      <c r="D205" s="91" t="n">
        <v>1</v>
      </c>
    </row>
    <row r="206">
      <c r="A206" s="102" t="n">
        <v>44090</v>
      </c>
      <c r="B206" s="106" t="inlineStr">
        <is>
          <t>COND PEPPER PACKETS</t>
        </is>
      </c>
      <c r="C206">
        <f>IF('Change Request Form'!$N$34="",0,COUNTIF(B206,"*"&amp;'Change Request Form'!$N$34&amp;"*"))</f>
        <v/>
      </c>
    </row>
    <row r="207">
      <c r="A207" s="102" t="n">
        <v>29195</v>
      </c>
      <c r="B207" s="106" t="inlineStr">
        <is>
          <t>COND SALT FRY</t>
        </is>
      </c>
      <c r="C207">
        <f>IF('Change Request Form'!$N$34="",0,COUNTIF(B207,"*"&amp;'Change Request Form'!$N$34&amp;"*"))</f>
        <v/>
      </c>
    </row>
    <row r="208">
      <c r="A208" s="102" t="n">
        <v>43015</v>
      </c>
      <c r="B208" s="106" t="inlineStr">
        <is>
          <t>COND SALT PACKETS</t>
        </is>
      </c>
      <c r="C208">
        <f>IF('Change Request Form'!$N$34="",0,COUNTIF(B208,"*"&amp;'Change Request Form'!$N$34&amp;"*"))</f>
        <v/>
      </c>
    </row>
    <row r="209">
      <c r="A209" s="102" t="n">
        <v>3496098</v>
      </c>
      <c r="B209" s="106" t="inlineStr">
        <is>
          <t>COND SEASONING 86:14 900GRAM</t>
        </is>
      </c>
      <c r="C209">
        <f>IF('Change Request Form'!$N$34="",0,COUNTIF(B209,"*"&amp;'Change Request Form'!$N$34&amp;"*"))</f>
        <v/>
      </c>
    </row>
    <row r="210">
      <c r="A210" s="102" t="n">
        <v>5905055</v>
      </c>
      <c r="B210" s="106" t="inlineStr">
        <is>
          <t>COND SEASONING ANGUS</t>
        </is>
      </c>
      <c r="C210">
        <f>IF('Change Request Form'!$N$34="",0,COUNTIF(B210,"*"&amp;'Change Request Form'!$N$34&amp;"*"))</f>
        <v/>
      </c>
      <c r="D210" s="91" t="n">
        <v>1</v>
      </c>
    </row>
    <row r="211">
      <c r="A211" s="102" t="n">
        <v>555087</v>
      </c>
      <c r="B211" s="106" t="inlineStr">
        <is>
          <t>COND SUGAR BULK</t>
        </is>
      </c>
      <c r="C211">
        <f>IF('Change Request Form'!$N$34="",0,COUNTIF(B211,"*"&amp;'Change Request Form'!$N$34&amp;"*"))</f>
        <v/>
      </c>
    </row>
    <row r="212">
      <c r="A212" s="102" t="n">
        <v>47288</v>
      </c>
      <c r="B212" s="106" t="inlineStr">
        <is>
          <t>COND SUGAR RAW SACHETS</t>
        </is>
      </c>
      <c r="C212">
        <f>IF('Change Request Form'!$N$34="",0,COUNTIF(B212,"*"&amp;'Change Request Form'!$N$34&amp;"*"))</f>
        <v/>
      </c>
    </row>
    <row r="213">
      <c r="A213" s="102" t="n">
        <v>47328</v>
      </c>
      <c r="B213" s="106" t="inlineStr">
        <is>
          <t>COND SUGAR SACHETS</t>
        </is>
      </c>
      <c r="C213">
        <f>IF('Change Request Form'!$N$34="",0,COUNTIF(B213,"*"&amp;'Change Request Form'!$N$34&amp;"*"))</f>
        <v/>
      </c>
    </row>
    <row r="214">
      <c r="A214" s="102" t="n">
        <v>49108</v>
      </c>
      <c r="B214" s="106" t="inlineStr">
        <is>
          <t>COND SWEETENER PACKETS</t>
        </is>
      </c>
      <c r="C214">
        <f>IF('Change Request Form'!$N$34="",0,COUNTIF(B214,"*"&amp;'Change Request Form'!$N$34&amp;"*"))</f>
        <v/>
      </c>
    </row>
    <row r="215">
      <c r="A215" s="102" t="n">
        <v>3096009</v>
      </c>
      <c r="B215" s="106" t="inlineStr">
        <is>
          <t>COND SWEETENER PACKETS</t>
        </is>
      </c>
      <c r="C215">
        <f>IF('Change Request Form'!$N$34="",0,COUNTIF(B215,"*"&amp;'Change Request Form'!$N$34&amp;"*"))</f>
        <v/>
      </c>
    </row>
    <row r="216">
      <c r="A216" s="102" t="n">
        <v>14760000</v>
      </c>
      <c r="B216" s="106" t="inlineStr">
        <is>
          <t>CONES SOFT SERVE</t>
        </is>
      </c>
      <c r="C216">
        <f>IF('Change Request Form'!$N$34="",0,COUNTIF(B216,"*"&amp;'Change Request Form'!$N$34&amp;"*"))</f>
        <v/>
      </c>
    </row>
    <row r="217">
      <c r="A217" s="102" t="n">
        <v>78051</v>
      </c>
      <c r="B217" s="106" t="inlineStr">
        <is>
          <t>COOKIES MCDONALDLAND</t>
        </is>
      </c>
      <c r="C217">
        <f>IF('Change Request Form'!$N$34="",0,COUNTIF(B217,"*"&amp;'Change Request Form'!$N$34&amp;"*"))</f>
        <v/>
      </c>
    </row>
    <row r="218">
      <c r="A218" s="102" t="n">
        <v>403060</v>
      </c>
      <c r="B218" s="106" t="inlineStr">
        <is>
          <t>CORDIAL ORANGE BOTTLE</t>
        </is>
      </c>
      <c r="C218">
        <f>IF('Change Request Form'!$N$34="",0,COUNTIF(B218,"*"&amp;'Change Request Form'!$N$34&amp;"*"))</f>
        <v/>
      </c>
    </row>
    <row r="219">
      <c r="A219" s="102" t="n">
        <v>406101</v>
      </c>
      <c r="B219" s="106" t="inlineStr">
        <is>
          <t>CREAM WHIP AEROSOL</t>
        </is>
      </c>
      <c r="C219">
        <f>IF('Change Request Form'!$N$34="",0,COUNTIF(B219,"*"&amp;'Change Request Form'!$N$34&amp;"*"))</f>
        <v/>
      </c>
    </row>
    <row r="220">
      <c r="A220" s="102" t="n">
        <v>17462043</v>
      </c>
      <c r="B220" s="106" t="inlineStr">
        <is>
          <t>CUP 12OZ SMALL</t>
        </is>
      </c>
      <c r="C220">
        <f>IF('Change Request Form'!$N$34="",0,COUNTIF(B220,"*"&amp;'Change Request Form'!$N$34&amp;"*"))</f>
        <v/>
      </c>
      <c r="D220" s="91" t="n">
        <v>1</v>
      </c>
    </row>
    <row r="221">
      <c r="A221" s="102" t="n">
        <v>155785</v>
      </c>
      <c r="B221" s="106" t="inlineStr">
        <is>
          <t>CUP 12OZ SMALL</t>
        </is>
      </c>
      <c r="C221">
        <f>IF('Change Request Form'!$N$34="",0,COUNTIF(B221,"*"&amp;'Change Request Form'!$N$34&amp;"*"))</f>
        <v/>
      </c>
      <c r="D221" s="91" t="n">
        <v>1</v>
      </c>
    </row>
    <row r="222">
      <c r="A222" s="102" t="n">
        <v>17462031</v>
      </c>
      <c r="B222" s="106" t="inlineStr">
        <is>
          <t>CUP 12OZ SMALL</t>
        </is>
      </c>
      <c r="C222">
        <f>IF('Change Request Form'!$N$34="",0,COUNTIF(B222,"*"&amp;'Change Request Form'!$N$34&amp;"*"))</f>
        <v/>
      </c>
      <c r="D222" s="91" t="n">
        <v>1</v>
      </c>
    </row>
    <row r="223">
      <c r="A223" s="102" t="n">
        <v>155617</v>
      </c>
      <c r="B223" s="106" t="inlineStr">
        <is>
          <t>CUP 12OZ SMALL</t>
        </is>
      </c>
      <c r="C223">
        <f>IF('Change Request Form'!$N$34="",0,COUNTIF(B223,"*"&amp;'Change Request Form'!$N$34&amp;"*"))</f>
        <v/>
      </c>
      <c r="D223" s="91" t="n">
        <v>1</v>
      </c>
    </row>
    <row r="224">
      <c r="A224" s="102" t="n">
        <v>155620</v>
      </c>
      <c r="B224" s="106" t="inlineStr">
        <is>
          <t>CUP 12OZ SMALL</t>
        </is>
      </c>
      <c r="C224">
        <f>IF('Change Request Form'!$N$34="",0,COUNTIF(B224,"*"&amp;'Change Request Form'!$N$34&amp;"*"))</f>
        <v/>
      </c>
      <c r="D224" s="91" t="n">
        <v>1</v>
      </c>
    </row>
    <row r="225">
      <c r="A225" s="102" t="n">
        <v>4569132</v>
      </c>
      <c r="B225" s="106" t="inlineStr">
        <is>
          <t>CUP 16OZ FCB</t>
        </is>
      </c>
      <c r="C225">
        <f>IF('Change Request Form'!$N$34="",0,COUNTIF(B225,"*"&amp;'Change Request Form'!$N$34&amp;"*"))</f>
        <v/>
      </c>
    </row>
    <row r="226">
      <c r="A226" s="102" t="n">
        <v>17398000</v>
      </c>
      <c r="B226" s="106" t="inlineStr">
        <is>
          <t>CUP 16OZ FCB</t>
        </is>
      </c>
      <c r="C226">
        <f>IF('Change Request Form'!$N$34="",0,COUNTIF(B226,"*"&amp;'Change Request Form'!$N$34&amp;"*"))</f>
        <v/>
      </c>
    </row>
    <row r="227">
      <c r="A227" s="102" t="n">
        <v>15265000</v>
      </c>
      <c r="B227" s="106" t="inlineStr">
        <is>
          <t>CUP 16OZ FCB</t>
        </is>
      </c>
      <c r="C227">
        <f>IF('Change Request Form'!$N$34="",0,COUNTIF(B227,"*"&amp;'Change Request Form'!$N$34&amp;"*"))</f>
        <v/>
      </c>
    </row>
    <row r="228">
      <c r="A228" s="102" t="n">
        <v>4569140</v>
      </c>
      <c r="B228" s="106" t="inlineStr">
        <is>
          <t>CUP 16OZ FCB</t>
        </is>
      </c>
      <c r="C228">
        <f>IF('Change Request Form'!$N$34="",0,COUNTIF(B228,"*"&amp;'Change Request Form'!$N$34&amp;"*"))</f>
        <v/>
      </c>
    </row>
    <row r="229">
      <c r="A229" s="102" t="n">
        <v>7333512</v>
      </c>
      <c r="B229" s="106" t="inlineStr">
        <is>
          <t>CUP 16OZ MEDIUM</t>
        </is>
      </c>
      <c r="C229">
        <f>IF('Change Request Form'!$N$34="",0,COUNTIF(B229,"*"&amp;'Change Request Form'!$N$34&amp;"*"))</f>
        <v/>
      </c>
      <c r="D229" s="91" t="n">
        <v>1</v>
      </c>
    </row>
    <row r="230">
      <c r="A230" s="102" t="n">
        <v>7333622</v>
      </c>
      <c r="B230" s="106" t="inlineStr">
        <is>
          <t>CUP 16OZ MEDIUM</t>
        </is>
      </c>
      <c r="C230">
        <f>IF('Change Request Form'!$N$34="",0,COUNTIF(B230,"*"&amp;'Change Request Form'!$N$34&amp;"*"))</f>
        <v/>
      </c>
      <c r="D230" s="91" t="n">
        <v>1</v>
      </c>
    </row>
    <row r="231">
      <c r="A231" s="102" t="n">
        <v>7333460</v>
      </c>
      <c r="B231" s="106" t="inlineStr">
        <is>
          <t>CUP 16OZ MEDIUM</t>
        </is>
      </c>
      <c r="C231">
        <f>IF('Change Request Form'!$N$34="",0,COUNTIF(B231,"*"&amp;'Change Request Form'!$N$34&amp;"*"))</f>
        <v/>
      </c>
      <c r="D231" s="91" t="n">
        <v>1</v>
      </c>
    </row>
    <row r="232">
      <c r="A232" s="102" t="n">
        <v>7333459</v>
      </c>
      <c r="B232" s="106" t="inlineStr">
        <is>
          <t>CUP 16OZ MEDIUM</t>
        </is>
      </c>
      <c r="C232">
        <f>IF('Change Request Form'!$N$34="",0,COUNTIF(B232,"*"&amp;'Change Request Form'!$N$34&amp;"*"))</f>
        <v/>
      </c>
      <c r="D232" s="91" t="n">
        <v>1</v>
      </c>
    </row>
    <row r="233">
      <c r="A233" s="102" t="n">
        <v>821973</v>
      </c>
      <c r="B233" s="106" t="inlineStr">
        <is>
          <t>CUP 22OZ FSB HBT LARGE</t>
        </is>
      </c>
      <c r="C233">
        <f>IF('Change Request Form'!$N$34="",0,COUNTIF(B233,"*"&amp;'Change Request Form'!$N$34&amp;"*"))</f>
        <v/>
      </c>
    </row>
    <row r="234">
      <c r="A234" s="102" t="n">
        <v>821253</v>
      </c>
      <c r="B234" s="106" t="inlineStr">
        <is>
          <t>CUP 22OZ LARGE</t>
        </is>
      </c>
      <c r="C234">
        <f>IF('Change Request Form'!$N$34="",0,COUNTIF(B234,"*"&amp;'Change Request Form'!$N$34&amp;"*"))</f>
        <v/>
      </c>
    </row>
    <row r="235">
      <c r="A235" s="102" t="n">
        <v>821974</v>
      </c>
      <c r="B235" s="106" t="inlineStr">
        <is>
          <t>CUP 22OZ LARGE</t>
        </is>
      </c>
      <c r="C235">
        <f>IF('Change Request Form'!$N$34="",0,COUNTIF(B235,"*"&amp;'Change Request Form'!$N$34&amp;"*"))</f>
        <v/>
      </c>
    </row>
    <row r="236">
      <c r="A236" s="102" t="n">
        <v>821212</v>
      </c>
      <c r="B236" s="106" t="inlineStr">
        <is>
          <t>CUP 22OZ LARGE</t>
        </is>
      </c>
      <c r="C236">
        <f>IF('Change Request Form'!$N$34="",0,COUNTIF(B236,"*"&amp;'Change Request Form'!$N$34&amp;"*"))</f>
        <v/>
      </c>
    </row>
    <row r="237">
      <c r="A237" s="102" t="n">
        <v>821238</v>
      </c>
      <c r="B237" s="106" t="inlineStr">
        <is>
          <t>CUP 22OZ LARGE</t>
        </is>
      </c>
      <c r="C237">
        <f>IF('Change Request Form'!$N$34="",0,COUNTIF(B237,"*"&amp;'Change Request Form'!$N$34&amp;"*"))</f>
        <v/>
      </c>
    </row>
    <row r="238">
      <c r="A238" s="102" t="n">
        <v>821236</v>
      </c>
      <c r="B238" s="106" t="inlineStr">
        <is>
          <t>CUP 22OZ LARGE</t>
        </is>
      </c>
      <c r="C238">
        <f>IF('Change Request Form'!$N$34="",0,COUNTIF(B238,"*"&amp;'Change Request Form'!$N$34&amp;"*"))</f>
        <v/>
      </c>
    </row>
    <row r="239">
      <c r="A239" s="102" t="n">
        <v>821916</v>
      </c>
      <c r="B239" s="106" t="inlineStr">
        <is>
          <t>CUP 22OZ LARGE</t>
        </is>
      </c>
      <c r="C239">
        <f>IF('Change Request Form'!$N$34="",0,COUNTIF(B239,"*"&amp;'Change Request Form'!$N$34&amp;"*"))</f>
        <v/>
      </c>
    </row>
    <row r="240">
      <c r="A240" s="102" t="n">
        <v>821121</v>
      </c>
      <c r="B240" s="106" t="inlineStr">
        <is>
          <t>CUP 22OZ LARGE</t>
        </is>
      </c>
      <c r="C240">
        <f>IF('Change Request Form'!$N$34="",0,COUNTIF(B240,"*"&amp;'Change Request Form'!$N$34&amp;"*"))</f>
        <v/>
      </c>
    </row>
    <row r="241">
      <c r="A241" s="102" t="n">
        <v>821915</v>
      </c>
      <c r="B241" s="106" t="inlineStr">
        <is>
          <t>CUP 22OZ LARGE</t>
        </is>
      </c>
      <c r="C241">
        <f>IF('Change Request Form'!$N$34="",0,COUNTIF(B241,"*"&amp;'Change Request Form'!$N$34&amp;"*"))</f>
        <v/>
      </c>
    </row>
    <row r="242">
      <c r="A242" s="102" t="n">
        <v>4574024</v>
      </c>
      <c r="B242" s="106" t="inlineStr">
        <is>
          <t>CUP 24OZ FCB</t>
        </is>
      </c>
      <c r="C242">
        <f>IF('Change Request Form'!$N$34="",0,COUNTIF(B242,"*"&amp;'Change Request Form'!$N$34&amp;"*"))</f>
        <v/>
      </c>
    </row>
    <row r="243">
      <c r="A243" s="102" t="n">
        <v>4574026</v>
      </c>
      <c r="B243" s="106" t="inlineStr">
        <is>
          <t>CUP 24OZ FCB</t>
        </is>
      </c>
      <c r="C243">
        <f>IF('Change Request Form'!$N$34="",0,COUNTIF(B243,"*"&amp;'Change Request Form'!$N$34&amp;"*"))</f>
        <v/>
      </c>
    </row>
    <row r="244">
      <c r="A244" s="102" t="n">
        <v>4574021</v>
      </c>
      <c r="B244" s="106" t="inlineStr">
        <is>
          <t>CUP 24OZ FCB</t>
        </is>
      </c>
      <c r="C244">
        <f>IF('Change Request Form'!$N$34="",0,COUNTIF(B244,"*"&amp;'Change Request Form'!$N$34&amp;"*"))</f>
        <v/>
      </c>
    </row>
    <row r="245">
      <c r="A245" s="102" t="n">
        <v>4574025</v>
      </c>
      <c r="B245" s="106" t="inlineStr">
        <is>
          <t>CUP 24OZ FCB</t>
        </is>
      </c>
      <c r="C245">
        <f>IF('Change Request Form'!$N$34="",0,COUNTIF(B245,"*"&amp;'Change Request Form'!$N$34&amp;"*"))</f>
        <v/>
      </c>
    </row>
    <row r="246">
      <c r="A246" s="102" t="n">
        <v>7314069</v>
      </c>
      <c r="B246" s="106" t="inlineStr">
        <is>
          <t>CUP CLEAR SMALL FRAPPE</t>
        </is>
      </c>
      <c r="C246">
        <f>IF('Change Request Form'!$N$34="",0,COUNTIF(B246,"*"&amp;'Change Request Form'!$N$34&amp;"*"))</f>
        <v/>
      </c>
      <c r="D246" s="91" t="n">
        <v>1</v>
      </c>
    </row>
    <row r="247">
      <c r="A247" s="102" t="n">
        <v>125104</v>
      </c>
      <c r="B247" s="106" t="inlineStr">
        <is>
          <t>CUP CLEAR SMALL FRAPPE</t>
        </is>
      </c>
      <c r="C247">
        <f>IF('Change Request Form'!$N$34="",0,COUNTIF(B247,"*"&amp;'Change Request Form'!$N$34&amp;"*"))</f>
        <v/>
      </c>
      <c r="D247" s="91" t="n">
        <v>1</v>
      </c>
    </row>
    <row r="248">
      <c r="A248" s="102" t="n">
        <v>18408001</v>
      </c>
      <c r="B248" s="106" t="inlineStr">
        <is>
          <t>CUP CLEAR SMALL FRAPPE</t>
        </is>
      </c>
      <c r="C248">
        <f>IF('Change Request Form'!$N$34="",0,COUNTIF(B248,"*"&amp;'Change Request Form'!$N$34&amp;"*"))</f>
        <v/>
      </c>
      <c r="D248" s="91" t="n">
        <v>1</v>
      </c>
    </row>
    <row r="249">
      <c r="A249" s="102" t="n">
        <v>7314062</v>
      </c>
      <c r="B249" s="106" t="inlineStr">
        <is>
          <t>CUP CLEAR SMALL FRAPPE</t>
        </is>
      </c>
      <c r="C249">
        <f>IF('Change Request Form'!$N$34="",0,COUNTIF(B249,"*"&amp;'Change Request Form'!$N$34&amp;"*"))</f>
        <v/>
      </c>
      <c r="D249" s="91" t="n">
        <v>1</v>
      </c>
    </row>
    <row r="250">
      <c r="A250" s="102" t="n">
        <v>7314072</v>
      </c>
      <c r="B250" s="106" t="inlineStr">
        <is>
          <t>CUP CLEAR SMALL FRAPPE</t>
        </is>
      </c>
      <c r="C250">
        <f>IF('Change Request Form'!$N$34="",0,COUNTIF(B250,"*"&amp;'Change Request Form'!$N$34&amp;"*"))</f>
        <v/>
      </c>
      <c r="D250" s="91" t="n">
        <v>1</v>
      </c>
    </row>
    <row r="251">
      <c r="A251" s="102" t="n">
        <v>15179001</v>
      </c>
      <c r="B251" s="106" t="inlineStr">
        <is>
          <t>CUP CONE 3OZ</t>
        </is>
      </c>
      <c r="C251">
        <f>IF('Change Request Form'!$N$34="",0,COUNTIF(B251,"*"&amp;'Change Request Form'!$N$34&amp;"*"))</f>
        <v/>
      </c>
      <c r="D251" s="91" t="n">
        <v>1</v>
      </c>
    </row>
    <row r="252">
      <c r="A252" s="102" t="n">
        <v>232559</v>
      </c>
      <c r="B252" s="106" t="inlineStr">
        <is>
          <t>CUP ESPRESSO SML 8OZ</t>
        </is>
      </c>
      <c r="C252">
        <f>IF('Change Request Form'!$N$34="",0,COUNTIF(B252,"*"&amp;'Change Request Form'!$N$34&amp;"*"))</f>
        <v/>
      </c>
    </row>
    <row r="253">
      <c r="A253" s="102" t="n">
        <v>111469</v>
      </c>
      <c r="B253" s="106" t="inlineStr">
        <is>
          <t>CUP ESPRESSO STD 12OZ</t>
        </is>
      </c>
      <c r="C253">
        <f>IF('Change Request Form'!$N$34="",0,COUNTIF(B253,"*"&amp;'Change Request Form'!$N$34&amp;"*"))</f>
        <v/>
      </c>
    </row>
    <row r="254">
      <c r="A254" s="102" t="n">
        <v>2991117</v>
      </c>
      <c r="B254" s="106" t="inlineStr">
        <is>
          <t>CUP ESPRESSO TALL 16OZ</t>
        </is>
      </c>
      <c r="C254">
        <f>IF('Change Request Form'!$N$34="",0,COUNTIF(B254,"*"&amp;'Change Request Form'!$N$34&amp;"*"))</f>
        <v/>
      </c>
    </row>
    <row r="255">
      <c r="A255" s="102" t="n">
        <v>5479111</v>
      </c>
      <c r="B255" s="106" t="inlineStr">
        <is>
          <t>CUP MCFLURRY</t>
        </is>
      </c>
      <c r="C255">
        <f>IF('Change Request Form'!$N$34="",0,COUNTIF(B255,"*"&amp;'Change Request Form'!$N$34&amp;"*"))</f>
        <v/>
      </c>
      <c r="D255" s="91" t="n">
        <v>1</v>
      </c>
    </row>
    <row r="256">
      <c r="A256" s="102" t="n">
        <v>5479117</v>
      </c>
      <c r="B256" s="106" t="inlineStr">
        <is>
          <t>CUP MCFLURRY</t>
        </is>
      </c>
      <c r="C256">
        <f>IF('Change Request Form'!$N$34="",0,COUNTIF(B256,"*"&amp;'Change Request Form'!$N$34&amp;"*"))</f>
        <v/>
      </c>
      <c r="D256" s="91" t="n">
        <v>1</v>
      </c>
    </row>
    <row r="257">
      <c r="A257" s="102" t="n">
        <v>5479116</v>
      </c>
      <c r="B257" s="106" t="inlineStr">
        <is>
          <t>CUP MCFLURRY</t>
        </is>
      </c>
      <c r="C257">
        <f>IF('Change Request Form'!$N$34="",0,COUNTIF(B257,"*"&amp;'Change Request Form'!$N$34&amp;"*"))</f>
        <v/>
      </c>
      <c r="D257" s="91" t="n">
        <v>1</v>
      </c>
    </row>
    <row r="258">
      <c r="A258" s="102" t="n">
        <v>5636022</v>
      </c>
      <c r="B258" s="106" t="inlineStr">
        <is>
          <t>CUP SUNDAE LARGE</t>
        </is>
      </c>
      <c r="C258">
        <f>IF('Change Request Form'!$N$34="",0,COUNTIF(B258,"*"&amp;'Change Request Form'!$N$34&amp;"*"))</f>
        <v/>
      </c>
      <c r="D258" s="91" t="n">
        <v>1</v>
      </c>
    </row>
    <row r="259">
      <c r="A259" s="102" t="n">
        <v>5636025</v>
      </c>
      <c r="B259" s="106" t="inlineStr">
        <is>
          <t>CUP SUNDAE LARGE</t>
        </is>
      </c>
      <c r="C259">
        <f>IF('Change Request Form'!$N$34="",0,COUNTIF(B259,"*"&amp;'Change Request Form'!$N$34&amp;"*"))</f>
        <v/>
      </c>
      <c r="D259" s="91" t="n">
        <v>1</v>
      </c>
    </row>
    <row r="260">
      <c r="A260" s="102" t="n">
        <v>261243</v>
      </c>
      <c r="B260" s="106" t="inlineStr">
        <is>
          <t>CUP SUNDAE SMALL</t>
        </is>
      </c>
      <c r="C260">
        <f>IF('Change Request Form'!$N$34="",0,COUNTIF(B260,"*"&amp;'Change Request Form'!$N$34&amp;"*"))</f>
        <v/>
      </c>
      <c r="D260" s="91" t="n">
        <v>1</v>
      </c>
    </row>
    <row r="261">
      <c r="A261" s="102" t="n">
        <v>261262</v>
      </c>
      <c r="B261" s="106" t="inlineStr">
        <is>
          <t>CUP SUNDAE SMALL</t>
        </is>
      </c>
      <c r="C261">
        <f>IF('Change Request Form'!$N$34="",0,COUNTIF(B261,"*"&amp;'Change Request Form'!$N$34&amp;"*"))</f>
        <v/>
      </c>
      <c r="D261" s="91" t="n">
        <v>1</v>
      </c>
    </row>
    <row r="262">
      <c r="A262" s="102" t="n">
        <v>1960105</v>
      </c>
      <c r="B262" s="106" t="inlineStr">
        <is>
          <t>DRESSING BALSAMIC</t>
        </is>
      </c>
      <c r="C262">
        <f>IF('Change Request Form'!$N$34="",0,COUNTIF(B262,"*"&amp;'Change Request Form'!$N$34&amp;"*"))</f>
        <v/>
      </c>
      <c r="D262" s="91" t="n">
        <v>1</v>
      </c>
    </row>
    <row r="263">
      <c r="A263" s="102" t="n">
        <v>867012</v>
      </c>
      <c r="B263" s="106" t="inlineStr">
        <is>
          <t>DRESSING CREAMY CAESAR</t>
        </is>
      </c>
      <c r="C263">
        <f>IF('Change Request Form'!$N$34="",0,COUNTIF(B263,"*"&amp;'Change Request Form'!$N$34&amp;"*"))</f>
        <v/>
      </c>
    </row>
    <row r="264">
      <c r="A264" s="102" t="n">
        <v>8177</v>
      </c>
      <c r="B264" s="106" t="inlineStr">
        <is>
          <t>FILET-O-FISH PORTIONS</t>
        </is>
      </c>
      <c r="C264">
        <f>IF('Change Request Form'!$N$34="",0,COUNTIF(B264,"*"&amp;'Change Request Form'!$N$34&amp;"*"))</f>
        <v/>
      </c>
    </row>
    <row r="265">
      <c r="A265" s="102" t="n">
        <v>8132</v>
      </c>
      <c r="B265" s="106" t="inlineStr">
        <is>
          <t>FILET-O-FISH PORTIONS</t>
        </is>
      </c>
      <c r="C265">
        <f>IF('Change Request Form'!$N$34="",0,COUNTIF(B265,"*"&amp;'Change Request Form'!$N$34&amp;"*"))</f>
        <v/>
      </c>
    </row>
    <row r="266">
      <c r="A266" s="102" t="n">
        <v>5906039</v>
      </c>
      <c r="B266" s="106" t="inlineStr">
        <is>
          <t>FRAP MIX CHOCOLATE</t>
        </is>
      </c>
      <c r="C266">
        <f>IF('Change Request Form'!$N$34="",0,COUNTIF(B266,"*"&amp;'Change Request Form'!$N$34&amp;"*"))</f>
        <v/>
      </c>
    </row>
    <row r="267">
      <c r="A267" s="102" t="n">
        <v>15202000</v>
      </c>
      <c r="B267" s="106" t="inlineStr">
        <is>
          <t>FRAP MIX CHOCOLATE</t>
        </is>
      </c>
      <c r="C267">
        <f>IF('Change Request Form'!$N$34="",0,COUNTIF(B267,"*"&amp;'Change Request Form'!$N$34&amp;"*"))</f>
        <v/>
      </c>
    </row>
    <row r="268">
      <c r="A268" s="102" t="n">
        <v>7422051</v>
      </c>
      <c r="B268" s="106" t="inlineStr">
        <is>
          <t>FRAP MIX CHOCOLATE</t>
        </is>
      </c>
      <c r="C268">
        <f>IF('Change Request Form'!$N$34="",0,COUNTIF(B268,"*"&amp;'Change Request Form'!$N$34&amp;"*"))</f>
        <v/>
      </c>
    </row>
    <row r="269">
      <c r="A269" s="102" t="n">
        <v>10778000</v>
      </c>
      <c r="B269" s="106" t="inlineStr">
        <is>
          <t>FRAP MIX COFFEE</t>
        </is>
      </c>
      <c r="C269">
        <f>IF('Change Request Form'!$N$34="",0,COUNTIF(B269,"*"&amp;'Change Request Form'!$N$34&amp;"*"))</f>
        <v/>
      </c>
    </row>
    <row r="270">
      <c r="A270" s="102" t="n">
        <v>15205000</v>
      </c>
      <c r="B270" s="106" t="inlineStr">
        <is>
          <t>FRAP MIX COFFEE</t>
        </is>
      </c>
      <c r="C270">
        <f>IF('Change Request Form'!$N$34="",0,COUNTIF(B270,"*"&amp;'Change Request Form'!$N$34&amp;"*"))</f>
        <v/>
      </c>
    </row>
    <row r="271">
      <c r="A271" s="102" t="n">
        <v>4357021</v>
      </c>
      <c r="B271" s="106" t="inlineStr">
        <is>
          <t>FRAP MIX COFFEE</t>
        </is>
      </c>
      <c r="C271">
        <f>IF('Change Request Form'!$N$34="",0,COUNTIF(B271,"*"&amp;'Change Request Form'!$N$34&amp;"*"))</f>
        <v/>
      </c>
    </row>
    <row r="272">
      <c r="A272" s="102" t="n">
        <v>6008069</v>
      </c>
      <c r="B272" s="106" t="inlineStr">
        <is>
          <t>FRAP MIX SALTED CARAMEL</t>
        </is>
      </c>
      <c r="C272">
        <f>IF('Change Request Form'!$N$34="",0,COUNTIF(B272,"*"&amp;'Change Request Form'!$N$34&amp;"*"))</f>
        <v/>
      </c>
    </row>
    <row r="273">
      <c r="A273" s="102" t="n">
        <v>4801</v>
      </c>
      <c r="B273" s="106" t="inlineStr">
        <is>
          <t xml:space="preserve">FRIES FRENCH </t>
        </is>
      </c>
      <c r="C273">
        <f>IF('Change Request Form'!$N$34="",0,COUNTIF(B273,"*"&amp;'Change Request Form'!$N$34&amp;"*"))</f>
        <v/>
      </c>
    </row>
    <row r="274">
      <c r="A274" s="102" t="n">
        <v>4525</v>
      </c>
      <c r="B274" s="106" t="inlineStr">
        <is>
          <t xml:space="preserve">FRIES FRENCH </t>
        </is>
      </c>
      <c r="C274">
        <f>IF('Change Request Form'!$N$34="",0,COUNTIF(B274,"*"&amp;'Change Request Form'!$N$34&amp;"*"))</f>
        <v/>
      </c>
    </row>
    <row r="275">
      <c r="A275" s="102" t="n">
        <v>9991101</v>
      </c>
      <c r="B275" s="106" t="inlineStr">
        <is>
          <t xml:space="preserve">FRIES FRENCH </t>
        </is>
      </c>
      <c r="C275">
        <f>IF('Change Request Form'!$N$34="",0,COUNTIF(B275,"*"&amp;'Change Request Form'!$N$34&amp;"*"))</f>
        <v/>
      </c>
    </row>
    <row r="276">
      <c r="A276" s="102" t="n">
        <v>4194</v>
      </c>
      <c r="B276" s="106" t="inlineStr">
        <is>
          <t xml:space="preserve">FRIES FRENCH </t>
        </is>
      </c>
      <c r="C276">
        <f>IF('Change Request Form'!$N$34="",0,COUNTIF(B276,"*"&amp;'Change Request Form'!$N$34&amp;"*"))</f>
        <v/>
      </c>
    </row>
    <row r="277">
      <c r="A277" s="102" t="n">
        <v>4188</v>
      </c>
      <c r="B277" s="106" t="inlineStr">
        <is>
          <t xml:space="preserve">FRIES FRENCH </t>
        </is>
      </c>
      <c r="C277">
        <f>IF('Change Request Form'!$N$34="",0,COUNTIF(B277,"*"&amp;'Change Request Form'!$N$34&amp;"*"))</f>
        <v/>
      </c>
    </row>
    <row r="278">
      <c r="A278" s="102" t="n">
        <v>9991103</v>
      </c>
      <c r="B278" s="106" t="inlineStr">
        <is>
          <t>HASH BROWNS</t>
        </is>
      </c>
      <c r="C278">
        <f>IF('Change Request Form'!$N$34="",0,COUNTIF(B278,"*"&amp;'Change Request Form'!$N$34&amp;"*"))</f>
        <v/>
      </c>
    </row>
    <row r="279">
      <c r="A279" s="102" t="n">
        <v>70177</v>
      </c>
      <c r="B279" s="106" t="inlineStr">
        <is>
          <t>HASH BROWNS</t>
        </is>
      </c>
      <c r="C279">
        <f>IF('Change Request Form'!$N$34="",0,COUNTIF(B279,"*"&amp;'Change Request Form'!$N$34&amp;"*"))</f>
        <v/>
      </c>
    </row>
    <row r="280">
      <c r="A280" s="102" t="n">
        <v>70120</v>
      </c>
      <c r="B280" s="106" t="inlineStr">
        <is>
          <t>HASH BROWNS</t>
        </is>
      </c>
      <c r="C280">
        <f>IF('Change Request Form'!$N$34="",0,COUNTIF(B280,"*"&amp;'Change Request Form'!$N$34&amp;"*"))</f>
        <v/>
      </c>
    </row>
    <row r="281">
      <c r="A281" s="102" t="n">
        <v>7076004</v>
      </c>
      <c r="B281" s="106" t="inlineStr">
        <is>
          <t>HOB:1L SYRUP HOTCAKE</t>
        </is>
      </c>
      <c r="C281">
        <f>IF('Change Request Form'!$N$34="",0,COUNTIF(B281,"*"&amp;'Change Request Form'!$N$34&amp;"*"))</f>
        <v/>
      </c>
    </row>
    <row r="282">
      <c r="A282" s="102" t="n">
        <v>5358039</v>
      </c>
      <c r="B282" s="106" t="inlineStr">
        <is>
          <t>HOTCAKES FROZEN</t>
        </is>
      </c>
      <c r="C282">
        <f>IF('Change Request Form'!$N$34="",0,COUNTIF(B282,"*"&amp;'Change Request Form'!$N$34&amp;"*"))</f>
        <v/>
      </c>
    </row>
    <row r="283">
      <c r="A283" s="102" t="n">
        <v>1809118</v>
      </c>
      <c r="B283" s="106" t="inlineStr">
        <is>
          <t xml:space="preserve">JUICE APPLE </t>
        </is>
      </c>
      <c r="C283">
        <f>IF('Change Request Form'!$N$34="",0,COUNTIF(B283,"*"&amp;'Change Request Form'!$N$34&amp;"*"))</f>
        <v/>
      </c>
    </row>
    <row r="284">
      <c r="A284" s="102" t="n">
        <v>132080</v>
      </c>
      <c r="B284" s="106" t="inlineStr">
        <is>
          <t>JUICE ORANGE CONCENTRATE</t>
        </is>
      </c>
      <c r="C284">
        <f>IF('Change Request Form'!$N$34="",0,COUNTIF(B284,"*"&amp;'Change Request Form'!$N$34&amp;"*"))</f>
        <v/>
      </c>
    </row>
    <row r="285">
      <c r="A285" s="102" t="n">
        <v>5950013</v>
      </c>
      <c r="B285" s="106" t="inlineStr">
        <is>
          <t>JUICE ORANGE CONCENTRATE</t>
        </is>
      </c>
      <c r="C285">
        <f>IF('Change Request Form'!$N$34="",0,COUNTIF(B285,"*"&amp;'Change Request Form'!$N$34&amp;"*"))</f>
        <v/>
      </c>
    </row>
    <row r="286">
      <c r="A286" s="102" t="n">
        <v>132162</v>
      </c>
      <c r="B286" s="106" t="inlineStr">
        <is>
          <t>JUICE ORANGE FRUIT BIB</t>
        </is>
      </c>
      <c r="C286">
        <f>IF('Change Request Form'!$N$34="",0,COUNTIF(B286,"*"&amp;'Change Request Form'!$N$34&amp;"*"))</f>
        <v/>
      </c>
    </row>
    <row r="287">
      <c r="A287" s="102" t="n">
        <v>2679059</v>
      </c>
      <c r="B287" s="106" t="inlineStr">
        <is>
          <t>KETCHUP BULK</t>
        </is>
      </c>
      <c r="C287">
        <f>IF('Change Request Form'!$N$34="",0,COUNTIF(B287,"*"&amp;'Change Request Form'!$N$34&amp;"*"))</f>
        <v/>
      </c>
    </row>
    <row r="288">
      <c r="A288" s="102" t="n">
        <v>45060</v>
      </c>
      <c r="B288" s="106" t="inlineStr">
        <is>
          <t xml:space="preserve">KETCHUP PACKET </t>
        </is>
      </c>
      <c r="C288">
        <f>IF('Change Request Form'!$N$34="",0,COUNTIF(B288,"*"&amp;'Change Request Form'!$N$34&amp;"*"))</f>
        <v/>
      </c>
    </row>
    <row r="289">
      <c r="A289" s="102" t="n">
        <v>10181037</v>
      </c>
      <c r="B289" s="106" t="inlineStr">
        <is>
          <t>LID 16/24OZ FCB</t>
        </is>
      </c>
      <c r="C289">
        <f>IF('Change Request Form'!$N$34="",0,COUNTIF(B289,"*"&amp;'Change Request Form'!$N$34&amp;"*"))</f>
        <v/>
      </c>
    </row>
    <row r="290">
      <c r="A290" s="102" t="n">
        <v>10181042</v>
      </c>
      <c r="B290" s="106" t="inlineStr">
        <is>
          <t>LID 16/24OZ FCB</t>
        </is>
      </c>
      <c r="C290">
        <f>IF('Change Request Form'!$N$34="",0,COUNTIF(B290,"*"&amp;'Change Request Form'!$N$34&amp;"*"))</f>
        <v/>
      </c>
    </row>
    <row r="291">
      <c r="A291" s="102" t="n">
        <v>10181027</v>
      </c>
      <c r="B291" s="106" t="inlineStr">
        <is>
          <t>LID 16/24OZ FCB</t>
        </is>
      </c>
      <c r="C291">
        <f>IF('Change Request Form'!$N$34="",0,COUNTIF(B291,"*"&amp;'Change Request Form'!$N$34&amp;"*"))</f>
        <v/>
      </c>
    </row>
    <row r="292">
      <c r="A292" s="102" t="n">
        <v>10181039</v>
      </c>
      <c r="B292" s="106" t="inlineStr">
        <is>
          <t>LID 16/24OZ FCB</t>
        </is>
      </c>
      <c r="C292">
        <f>IF('Change Request Form'!$N$34="",0,COUNTIF(B292,"*"&amp;'Change Request Form'!$N$34&amp;"*"))</f>
        <v/>
      </c>
    </row>
    <row r="293">
      <c r="A293" s="102" t="n">
        <v>264102</v>
      </c>
      <c r="B293" s="106" t="inlineStr">
        <is>
          <t>LID BREAKFAST</t>
        </is>
      </c>
      <c r="C293">
        <f>IF('Change Request Form'!$N$34="",0,COUNTIF(B293,"*"&amp;'Change Request Form'!$N$34&amp;"*"))</f>
        <v/>
      </c>
    </row>
    <row r="294">
      <c r="A294" s="102" t="n">
        <v>264103</v>
      </c>
      <c r="B294" s="106" t="inlineStr">
        <is>
          <t>LID BREAKFAST</t>
        </is>
      </c>
      <c r="C294">
        <f>IF('Change Request Form'!$N$34="",0,COUNTIF(B294,"*"&amp;'Change Request Form'!$N$34&amp;"*"))</f>
        <v/>
      </c>
    </row>
    <row r="295">
      <c r="A295" s="102" t="n">
        <v>4325004</v>
      </c>
      <c r="B295" s="106" t="inlineStr">
        <is>
          <t>LID CLEAR FLAT 92MM</t>
        </is>
      </c>
      <c r="C295">
        <f>IF('Change Request Form'!$N$34="",0,COUNTIF(B295,"*"&amp;'Change Request Form'!$N$34&amp;"*"))</f>
        <v/>
      </c>
      <c r="D295" s="91" t="n">
        <v>1</v>
      </c>
    </row>
    <row r="296">
      <c r="A296" s="102" t="n">
        <v>4325000</v>
      </c>
      <c r="B296" s="106" t="inlineStr">
        <is>
          <t>LID CLEAR FLAT 92MM</t>
        </is>
      </c>
      <c r="C296">
        <f>IF('Change Request Form'!$N$34="",0,COUNTIF(B296,"*"&amp;'Change Request Form'!$N$34&amp;"*"))</f>
        <v/>
      </c>
      <c r="D296" s="91" t="n">
        <v>1</v>
      </c>
    </row>
    <row r="297">
      <c r="A297" s="102" t="n">
        <v>117411</v>
      </c>
      <c r="B297" s="106" t="inlineStr">
        <is>
          <t>LID CLEAR FLAT 92MM</t>
        </is>
      </c>
      <c r="C297">
        <f>IF('Change Request Form'!$N$34="",0,COUNTIF(B297,"*"&amp;'Change Request Form'!$N$34&amp;"*"))</f>
        <v/>
      </c>
      <c r="D297" s="91" t="n">
        <v>1</v>
      </c>
    </row>
    <row r="298">
      <c r="A298" s="102" t="n">
        <v>4340029</v>
      </c>
      <c r="B298" s="106" t="inlineStr">
        <is>
          <t>LID COFFEE 3 IN 1</t>
        </is>
      </c>
      <c r="C298">
        <f>IF('Change Request Form'!$N$34="",0,COUNTIF(B298,"*"&amp;'Change Request Form'!$N$34&amp;"*"))</f>
        <v/>
      </c>
    </row>
    <row r="299">
      <c r="A299" s="102" t="n">
        <v>4340032</v>
      </c>
      <c r="B299" s="106" t="inlineStr">
        <is>
          <t>LID COFFEE 3 IN 1</t>
        </is>
      </c>
      <c r="C299">
        <f>IF('Change Request Form'!$N$34="",0,COUNTIF(B299,"*"&amp;'Change Request Form'!$N$34&amp;"*"))</f>
        <v/>
      </c>
    </row>
    <row r="300">
      <c r="A300" s="102" t="n">
        <v>4340018</v>
      </c>
      <c r="B300" s="106" t="inlineStr">
        <is>
          <t>LID COFFEE 3 IN 1</t>
        </is>
      </c>
      <c r="C300">
        <f>IF('Change Request Form'!$N$34="",0,COUNTIF(B300,"*"&amp;'Change Request Form'!$N$34&amp;"*"))</f>
        <v/>
      </c>
    </row>
    <row r="301">
      <c r="A301" s="102" t="n">
        <v>233223</v>
      </c>
      <c r="B301" s="106" t="inlineStr">
        <is>
          <t>LID COFFEE 8OZ</t>
        </is>
      </c>
      <c r="C301">
        <f>IF('Change Request Form'!$N$34="",0,COUNTIF(B301,"*"&amp;'Change Request Form'!$N$34&amp;"*"))</f>
        <v/>
      </c>
    </row>
    <row r="302">
      <c r="A302" s="102" t="n">
        <v>233209</v>
      </c>
      <c r="B302" s="106" t="inlineStr">
        <is>
          <t>LID COFFEE 8OZ</t>
        </is>
      </c>
      <c r="C302">
        <f>IF('Change Request Form'!$N$34="",0,COUNTIF(B302,"*"&amp;'Change Request Form'!$N$34&amp;"*"))</f>
        <v/>
      </c>
    </row>
    <row r="303">
      <c r="A303" s="102" t="n">
        <v>117407</v>
      </c>
      <c r="B303" s="106" t="inlineStr">
        <is>
          <t>LID MED/LARGE 16/22OZ</t>
        </is>
      </c>
      <c r="C303">
        <f>IF('Change Request Form'!$N$34="",0,COUNTIF(B303,"*"&amp;'Change Request Form'!$N$34&amp;"*"))</f>
        <v/>
      </c>
      <c r="D303" s="91" t="n">
        <v>1</v>
      </c>
    </row>
    <row r="304">
      <c r="A304" s="102" t="n">
        <v>117424</v>
      </c>
      <c r="B304" s="106" t="inlineStr">
        <is>
          <t>LID MED/LARGE 16/22OZ</t>
        </is>
      </c>
      <c r="C304">
        <f>IF('Change Request Form'!$N$34="",0,COUNTIF(B304,"*"&amp;'Change Request Form'!$N$34&amp;"*"))</f>
        <v/>
      </c>
      <c r="D304" s="91" t="n">
        <v>1</v>
      </c>
    </row>
    <row r="305">
      <c r="A305" s="102" t="n">
        <v>117412</v>
      </c>
      <c r="B305" s="106" t="inlineStr">
        <is>
          <t>LID MED/LARGE 16/22OZ</t>
        </is>
      </c>
      <c r="C305">
        <f>IF('Change Request Form'!$N$34="",0,COUNTIF(B305,"*"&amp;'Change Request Form'!$N$34&amp;"*"))</f>
        <v/>
      </c>
      <c r="D305" s="91" t="n">
        <v>1</v>
      </c>
    </row>
    <row r="306">
      <c r="A306" s="102" t="n">
        <v>117363</v>
      </c>
      <c r="B306" s="106" t="inlineStr">
        <is>
          <t>LID MED/LARGE 16/22OZ</t>
        </is>
      </c>
      <c r="C306">
        <f>IF('Change Request Form'!$N$34="",0,COUNTIF(B306,"*"&amp;'Change Request Form'!$N$34&amp;"*"))</f>
        <v/>
      </c>
      <c r="D306" s="91" t="n">
        <v>1</v>
      </c>
    </row>
    <row r="307">
      <c r="A307" s="102" t="n">
        <v>116204</v>
      </c>
      <c r="B307" s="106" t="inlineStr">
        <is>
          <t>LID REGULAR 12OZ</t>
        </is>
      </c>
      <c r="C307">
        <f>IF('Change Request Form'!$N$34="",0,COUNTIF(B307,"*"&amp;'Change Request Form'!$N$34&amp;"*"))</f>
        <v/>
      </c>
      <c r="D307" s="91" t="n">
        <v>1</v>
      </c>
    </row>
    <row r="308">
      <c r="A308" s="102" t="n">
        <v>116240</v>
      </c>
      <c r="B308" s="106" t="inlineStr">
        <is>
          <t>LID REGULAR 12OZ</t>
        </is>
      </c>
      <c r="C308">
        <f>IF('Change Request Form'!$N$34="",0,COUNTIF(B308,"*"&amp;'Change Request Form'!$N$34&amp;"*"))</f>
        <v/>
      </c>
      <c r="D308" s="91" t="n">
        <v>1</v>
      </c>
    </row>
    <row r="309">
      <c r="A309" s="102" t="n">
        <v>116210</v>
      </c>
      <c r="B309" s="106" t="inlineStr">
        <is>
          <t>LID REGULAR 12OZ</t>
        </is>
      </c>
      <c r="C309">
        <f>IF('Change Request Form'!$N$34="",0,COUNTIF(B309,"*"&amp;'Change Request Form'!$N$34&amp;"*"))</f>
        <v/>
      </c>
      <c r="D309" s="91" t="n">
        <v>1</v>
      </c>
    </row>
    <row r="310">
      <c r="A310" s="102" t="n">
        <v>3270033</v>
      </c>
      <c r="B310" s="106" t="inlineStr">
        <is>
          <t>MCDELIVERY BAG BATCHING</t>
        </is>
      </c>
      <c r="C310">
        <f>IF('Change Request Form'!$N$34="",0,COUNTIF(B310,"*"&amp;'Change Request Form'!$N$34&amp;"*"))</f>
        <v/>
      </c>
    </row>
    <row r="311">
      <c r="A311" s="102" t="n">
        <v>2254027</v>
      </c>
      <c r="B311" s="106" t="inlineStr">
        <is>
          <t>MCPOP CARAMEL COOKIE</t>
        </is>
      </c>
      <c r="C311">
        <f>IF('Change Request Form'!$N$34="",0,COUNTIF(B311,"*"&amp;'Change Request Form'!$N$34&amp;"*"))</f>
        <v/>
      </c>
    </row>
    <row r="312">
      <c r="A312" s="102" t="n">
        <v>2087290</v>
      </c>
      <c r="B312" s="106" t="inlineStr">
        <is>
          <t>MDS TE LABEL</t>
        </is>
      </c>
      <c r="C312">
        <f>IF('Change Request Form'!$N$34="",0,COUNTIF(B312,"*"&amp;'Change Request Form'!$N$34&amp;"*"))</f>
        <v/>
      </c>
    </row>
    <row r="313">
      <c r="A313" s="102" t="n">
        <v>487012</v>
      </c>
      <c r="B313" s="106" t="inlineStr">
        <is>
          <t>MFV FLAV SHOT B/BERRY</t>
        </is>
      </c>
      <c r="C313">
        <f>IF('Change Request Form'!$N$34="",0,COUNTIF(B313,"*"&amp;'Change Request Form'!$N$34&amp;"*"))</f>
        <v/>
      </c>
    </row>
    <row r="314">
      <c r="A314" s="102" t="n">
        <v>14015001</v>
      </c>
      <c r="B314" s="106" t="inlineStr">
        <is>
          <t>MFV FLAV SHOT FANTA ORANGE</t>
        </is>
      </c>
      <c r="C314">
        <f>IF('Change Request Form'!$N$34="",0,COUNTIF(B314,"*"&amp;'Change Request Form'!$N$34&amp;"*"))</f>
        <v/>
      </c>
    </row>
    <row r="315">
      <c r="A315" s="102" t="n">
        <v>14015000</v>
      </c>
      <c r="B315" s="106" t="inlineStr">
        <is>
          <t>MFV FLAV SHOT GRAPE</t>
        </is>
      </c>
      <c r="C315">
        <f>IF('Change Request Form'!$N$34="",0,COUNTIF(B315,"*"&amp;'Change Request Form'!$N$34&amp;"*"))</f>
        <v/>
      </c>
    </row>
    <row r="316">
      <c r="A316" s="102" t="n">
        <v>6477075</v>
      </c>
      <c r="B316" s="106" t="inlineStr">
        <is>
          <t>MFV FLAV SHOT MANGO</t>
        </is>
      </c>
      <c r="C316">
        <f>IF('Change Request Form'!$N$34="",0,COUNTIF(B316,"*"&amp;'Change Request Form'!$N$34&amp;"*"))</f>
        <v/>
      </c>
    </row>
    <row r="317">
      <c r="A317" s="102" t="n">
        <v>7561078</v>
      </c>
      <c r="B317" s="106" t="inlineStr">
        <is>
          <t>MFV FLAV SHOT R/BERRY</t>
        </is>
      </c>
      <c r="C317">
        <f>IF('Change Request Form'!$N$34="",0,COUNTIF(B317,"*"&amp;'Change Request Form'!$N$34&amp;"*"))</f>
        <v/>
      </c>
    </row>
    <row r="318">
      <c r="A318" s="102" t="n">
        <v>2601109</v>
      </c>
      <c r="B318" s="106" t="inlineStr">
        <is>
          <t>MFV FLAV SHOT SPRITE</t>
        </is>
      </c>
      <c r="C318">
        <f>IF('Change Request Form'!$N$34="",0,COUNTIF(B318,"*"&amp;'Change Request Form'!$N$34&amp;"*"))</f>
        <v/>
      </c>
    </row>
    <row r="319">
      <c r="A319" s="102" t="n">
        <v>12013006</v>
      </c>
      <c r="B319" s="106" t="inlineStr">
        <is>
          <t>MILK ALMOND</t>
        </is>
      </c>
      <c r="C319">
        <f>IF('Change Request Form'!$N$34="",0,COUNTIF(B319,"*"&amp;'Change Request Form'!$N$34&amp;"*"))</f>
        <v/>
      </c>
    </row>
    <row r="320">
      <c r="A320" s="102" t="n">
        <v>5719012</v>
      </c>
      <c r="B320" s="106" t="inlineStr">
        <is>
          <t>MILK CALCIYUM CHOCOLATE 250ML</t>
        </is>
      </c>
      <c r="C320">
        <f>IF('Change Request Form'!$N$34="",0,COUNTIF(B320,"*"&amp;'Change Request Form'!$N$34&amp;"*"))</f>
        <v/>
      </c>
    </row>
    <row r="321">
      <c r="A321" s="102" t="n">
        <v>13853001</v>
      </c>
      <c r="B321" s="106" t="inlineStr">
        <is>
          <t>MILK FULL CREAM</t>
        </is>
      </c>
      <c r="C321">
        <f>IF('Change Request Form'!$N$34="",0,COUNTIF(B321,"*"&amp;'Change Request Form'!$N$34&amp;"*"))</f>
        <v/>
      </c>
    </row>
    <row r="322">
      <c r="A322" s="102" t="n">
        <v>8482054</v>
      </c>
      <c r="B322" s="106" t="inlineStr">
        <is>
          <t>MILK LACTOSE FREE FC</t>
        </is>
      </c>
      <c r="C322">
        <f>IF('Change Request Form'!$N$34="",0,COUNTIF(B322,"*"&amp;'Change Request Form'!$N$34&amp;"*"))</f>
        <v/>
      </c>
    </row>
    <row r="323">
      <c r="A323" s="102" t="n">
        <v>16479001</v>
      </c>
      <c r="B323" s="106" t="inlineStr">
        <is>
          <t>MILK OAT</t>
        </is>
      </c>
      <c r="C323">
        <f>IF('Change Request Form'!$N$34="",0,COUNTIF(B323,"*"&amp;'Change Request Form'!$N$34&amp;"*"))</f>
        <v/>
      </c>
    </row>
    <row r="324">
      <c r="A324" s="102" t="n">
        <v>12495004</v>
      </c>
      <c r="B324" s="106" t="inlineStr">
        <is>
          <t>MILK SKIM</t>
        </is>
      </c>
      <c r="C324">
        <f>IF('Change Request Form'!$N$34="",0,COUNTIF(B324,"*"&amp;'Change Request Form'!$N$34&amp;"*"))</f>
        <v/>
      </c>
    </row>
    <row r="325">
      <c r="A325" s="102" t="n">
        <v>8482053</v>
      </c>
      <c r="B325" s="106" t="inlineStr">
        <is>
          <t>MILK SOY</t>
        </is>
      </c>
      <c r="C325">
        <f>IF('Change Request Form'!$N$34="",0,COUNTIF(B325,"*"&amp;'Change Request Form'!$N$34&amp;"*"))</f>
        <v/>
      </c>
    </row>
    <row r="326">
      <c r="A326" s="102" t="n">
        <v>14076</v>
      </c>
      <c r="B326" s="106" t="inlineStr">
        <is>
          <t>MUFFIN ENGLISH</t>
        </is>
      </c>
      <c r="C326">
        <f>IF('Change Request Form'!$N$34="",0,COUNTIF(B326,"*"&amp;'Change Request Form'!$N$34&amp;"*"))</f>
        <v/>
      </c>
    </row>
    <row r="327">
      <c r="A327" s="102" t="n">
        <v>14052</v>
      </c>
      <c r="B327" s="106" t="inlineStr">
        <is>
          <t>MUFFIN ENGLISH</t>
        </is>
      </c>
      <c r="C327">
        <f>IF('Change Request Form'!$N$34="",0,COUNTIF(B327,"*"&amp;'Change Request Form'!$N$34&amp;"*"))</f>
        <v/>
      </c>
    </row>
    <row r="328">
      <c r="A328" s="102" t="n">
        <v>14029</v>
      </c>
      <c r="B328" s="106" t="inlineStr">
        <is>
          <t>MUFFIN ENGLISH</t>
        </is>
      </c>
      <c r="C328">
        <f>IF('Change Request Form'!$N$34="",0,COUNTIF(B328,"*"&amp;'Change Request Form'!$N$34&amp;"*"))</f>
        <v/>
      </c>
    </row>
    <row r="329">
      <c r="A329" s="102" t="n">
        <v>193483</v>
      </c>
      <c r="B329" s="106" t="inlineStr">
        <is>
          <t>NAPKIN DRIVE THRU</t>
        </is>
      </c>
      <c r="C329">
        <f>IF('Change Request Form'!$N$34="",0,COUNTIF(B329,"*"&amp;'Change Request Form'!$N$34&amp;"*"))</f>
        <v/>
      </c>
    </row>
    <row r="330">
      <c r="A330" s="102" t="n">
        <v>3237086</v>
      </c>
      <c r="B330" s="106" t="inlineStr">
        <is>
          <t>OIL VEGETABLE</t>
        </is>
      </c>
      <c r="C330">
        <f>IF('Change Request Form'!$N$34="",0,COUNTIF(B330,"*"&amp;'Change Request Form'!$N$34&amp;"*"))</f>
        <v/>
      </c>
    </row>
    <row r="331">
      <c r="A331" s="102" t="n">
        <v>3237176</v>
      </c>
      <c r="B331" s="106" t="inlineStr">
        <is>
          <t>OIL VEGETABLE</t>
        </is>
      </c>
      <c r="C331">
        <f>IF('Change Request Form'!$N$34="",0,COUNTIF(B331,"*"&amp;'Change Request Form'!$N$34&amp;"*"))</f>
        <v/>
      </c>
    </row>
    <row r="332">
      <c r="A332" s="102" t="n">
        <v>3237083</v>
      </c>
      <c r="B332" s="106" t="inlineStr">
        <is>
          <t>OIL VEGETABLE</t>
        </is>
      </c>
      <c r="C332">
        <f>IF('Change Request Form'!$N$34="",0,COUNTIF(B332,"*"&amp;'Change Request Form'!$N$34&amp;"*"))</f>
        <v/>
      </c>
    </row>
    <row r="333">
      <c r="A333" s="102" t="n">
        <v>3237173</v>
      </c>
      <c r="B333" s="106" t="inlineStr">
        <is>
          <t>OIL VEGETABLE</t>
        </is>
      </c>
      <c r="C333">
        <f>IF('Change Request Form'!$N$34="",0,COUNTIF(B333,"*"&amp;'Change Request Form'!$N$34&amp;"*"))</f>
        <v/>
      </c>
    </row>
    <row r="334">
      <c r="A334" s="102" t="n">
        <v>6316104</v>
      </c>
      <c r="B334" s="106" t="inlineStr">
        <is>
          <t>ONION RINGS</t>
        </is>
      </c>
      <c r="C334">
        <f>IF('Change Request Form'!$N$34="",0,COUNTIF(B334,"*"&amp;'Change Request Form'!$N$34&amp;"*"))</f>
        <v/>
      </c>
    </row>
    <row r="335">
      <c r="A335" s="102" t="n">
        <v>76035</v>
      </c>
      <c r="B335" s="106" t="inlineStr">
        <is>
          <t>PIE APPLE</t>
        </is>
      </c>
      <c r="C335">
        <f>IF('Change Request Form'!$N$34="",0,COUNTIF(B335,"*"&amp;'Change Request Form'!$N$34&amp;"*"))</f>
        <v/>
      </c>
    </row>
    <row r="336">
      <c r="A336" s="102" t="n">
        <v>3858105</v>
      </c>
      <c r="B336" s="106" t="inlineStr">
        <is>
          <t>PINEAPPLE FRITTER CRUMBED</t>
        </is>
      </c>
      <c r="C336">
        <f>IF('Change Request Form'!$N$34="",0,COUNTIF(B336,"*"&amp;'Change Request Form'!$N$34&amp;"*"))</f>
        <v/>
      </c>
    </row>
    <row r="337">
      <c r="A337" s="102" t="n">
        <v>394015</v>
      </c>
      <c r="B337" s="106" t="inlineStr">
        <is>
          <t xml:space="preserve">PORK MCRIB PATTIE </t>
        </is>
      </c>
      <c r="C337">
        <f>IF('Change Request Form'!$N$34="",0,COUNTIF(B337,"*"&amp;'Change Request Form'!$N$34&amp;"*"))</f>
        <v/>
      </c>
    </row>
    <row r="338">
      <c r="A338" s="102" t="n">
        <v>364104</v>
      </c>
      <c r="B338" s="106" t="inlineStr">
        <is>
          <t>PORTION CUP</t>
        </is>
      </c>
      <c r="C338">
        <f>IF('Change Request Form'!$N$34="",0,COUNTIF(B338,"*"&amp;'Change Request Form'!$N$34&amp;"*"))</f>
        <v/>
      </c>
      <c r="D338" s="91" t="n">
        <v>1</v>
      </c>
    </row>
    <row r="339">
      <c r="A339" s="102" t="n">
        <v>364106</v>
      </c>
      <c r="B339" s="106" t="inlineStr">
        <is>
          <t>PORTION CUP</t>
        </is>
      </c>
      <c r="C339">
        <f>IF('Change Request Form'!$N$34="",0,COUNTIF(B339,"*"&amp;'Change Request Form'!$N$34&amp;"*"))</f>
        <v/>
      </c>
      <c r="D339" s="91" t="n">
        <v>1</v>
      </c>
    </row>
    <row r="340">
      <c r="A340" s="102" t="n">
        <v>8797010</v>
      </c>
      <c r="B340" s="106" t="inlineStr">
        <is>
          <t>PORTION CUP &amp; LID SET 2.5OZ</t>
        </is>
      </c>
      <c r="C340">
        <f>IF('Change Request Form'!$N$34="",0,COUNTIF(B340,"*"&amp;'Change Request Form'!$N$34&amp;"*"))</f>
        <v/>
      </c>
      <c r="D340" s="91" t="n">
        <v>1</v>
      </c>
    </row>
    <row r="341">
      <c r="A341" s="102" t="n">
        <v>1214100</v>
      </c>
      <c r="B341" s="106" t="inlineStr">
        <is>
          <t>PORTION LID</t>
        </is>
      </c>
      <c r="C341">
        <f>IF('Change Request Form'!$N$34="",0,COUNTIF(B341,"*"&amp;'Change Request Form'!$N$34&amp;"*"))</f>
        <v/>
      </c>
    </row>
    <row r="342">
      <c r="A342" s="102" t="n">
        <v>1214101</v>
      </c>
      <c r="B342" s="106" t="inlineStr">
        <is>
          <t>PORTION LID</t>
        </is>
      </c>
      <c r="C342">
        <f>IF('Change Request Form'!$N$34="",0,COUNTIF(B342,"*"&amp;'Change Request Form'!$N$34&amp;"*"))</f>
        <v/>
      </c>
    </row>
    <row r="343">
      <c r="A343" s="102" t="n">
        <v>1131018</v>
      </c>
      <c r="B343" s="106" t="inlineStr">
        <is>
          <t>POWDER SHAKE MIX</t>
        </is>
      </c>
      <c r="C343">
        <f>IF('Change Request Form'!$N$34="",0,COUNTIF(B343,"*"&amp;'Change Request Form'!$N$34&amp;"*"))</f>
        <v/>
      </c>
    </row>
    <row r="344">
      <c r="A344" s="102" t="n">
        <v>12291</v>
      </c>
      <c r="B344" s="106" t="inlineStr">
        <is>
          <t>POWDER SUNDAE MIX</t>
        </is>
      </c>
      <c r="C344">
        <f>IF('Change Request Form'!$N$34="",0,COUNTIF(B344,"*"&amp;'Change Request Form'!$N$34&amp;"*"))</f>
        <v/>
      </c>
    </row>
    <row r="345">
      <c r="A345" s="102" t="n">
        <v>4949018</v>
      </c>
      <c r="B345" s="106" t="inlineStr">
        <is>
          <t>PROD BEETROOT SLICES</t>
        </is>
      </c>
      <c r="C345">
        <f>IF('Change Request Form'!$N$34="",0,COUNTIF(B345,"*"&amp;'Change Request Form'!$N$34&amp;"*"))</f>
        <v/>
      </c>
      <c r="D345" s="91" t="n">
        <v>1</v>
      </c>
    </row>
    <row r="346">
      <c r="A346" s="102" t="n">
        <v>670103</v>
      </c>
      <c r="B346" s="106" t="inlineStr">
        <is>
          <t>PROD CROUTON SACHET</t>
        </is>
      </c>
      <c r="C346">
        <f>IF('Change Request Form'!$N$34="",0,COUNTIF(B346,"*"&amp;'Change Request Form'!$N$34&amp;"*"))</f>
        <v/>
      </c>
      <c r="D346" s="91" t="n">
        <v>1</v>
      </c>
    </row>
    <row r="347">
      <c r="A347" s="102" t="n">
        <v>670105</v>
      </c>
      <c r="B347" s="106" t="inlineStr">
        <is>
          <t>PROD CROUTON SACHET</t>
        </is>
      </c>
      <c r="C347">
        <f>IF('Change Request Form'!$N$34="",0,COUNTIF(B347,"*"&amp;'Change Request Form'!$N$34&amp;"*"))</f>
        <v/>
      </c>
      <c r="D347" s="91" t="n">
        <v>1</v>
      </c>
    </row>
    <row r="348">
      <c r="A348" s="102" t="n">
        <v>437278</v>
      </c>
      <c r="B348" s="106" t="inlineStr">
        <is>
          <t xml:space="preserve">PROD CUCUMBER </t>
        </is>
      </c>
      <c r="C348">
        <f>IF('Change Request Form'!$N$34="",0,COUNTIF(B348,"*"&amp;'Change Request Form'!$N$34&amp;"*"))</f>
        <v/>
      </c>
      <c r="D348" s="91" t="n">
        <v>1</v>
      </c>
    </row>
    <row r="349">
      <c r="A349" s="102" t="n">
        <v>437279</v>
      </c>
      <c r="B349" s="106" t="inlineStr">
        <is>
          <t xml:space="preserve">PROD CUCUMBER </t>
        </is>
      </c>
      <c r="C349">
        <f>IF('Change Request Form'!$N$34="",0,COUNTIF(B349,"*"&amp;'Change Request Form'!$N$34&amp;"*"))</f>
        <v/>
      </c>
      <c r="D349" s="91" t="n">
        <v>1</v>
      </c>
    </row>
    <row r="350">
      <c r="A350" s="102" t="n">
        <v>1144066</v>
      </c>
      <c r="B350" s="106" t="inlineStr">
        <is>
          <t xml:space="preserve">PROD EGGS FRESH </t>
        </is>
      </c>
      <c r="C350">
        <f>IF('Change Request Form'!$N$34="",0,COUNTIF(B350,"*"&amp;'Change Request Form'!$N$34&amp;"*"))</f>
        <v/>
      </c>
    </row>
    <row r="351">
      <c r="A351" s="102" t="n">
        <v>1144075</v>
      </c>
      <c r="B351" s="106" t="inlineStr">
        <is>
          <t xml:space="preserve">PROD EGGS FRESH </t>
        </is>
      </c>
      <c r="C351">
        <f>IF('Change Request Form'!$N$34="",0,COUNTIF(B351,"*"&amp;'Change Request Form'!$N$34&amp;"*"))</f>
        <v/>
      </c>
    </row>
    <row r="352">
      <c r="A352" s="102" t="n">
        <v>1144072</v>
      </c>
      <c r="B352" s="106" t="inlineStr">
        <is>
          <t xml:space="preserve">PROD EGGS FRESH </t>
        </is>
      </c>
      <c r="C352">
        <f>IF('Change Request Form'!$N$34="",0,COUNTIF(B352,"*"&amp;'Change Request Form'!$N$34&amp;"*"))</f>
        <v/>
      </c>
    </row>
    <row r="353">
      <c r="A353" s="102" t="n">
        <v>1144069</v>
      </c>
      <c r="B353" s="106" t="inlineStr">
        <is>
          <t xml:space="preserve">PROD EGGS FRESH </t>
        </is>
      </c>
      <c r="C353">
        <f>IF('Change Request Form'!$N$34="",0,COUNTIF(B353,"*"&amp;'Change Request Form'!$N$34&amp;"*"))</f>
        <v/>
      </c>
    </row>
    <row r="354">
      <c r="A354" s="102" t="n">
        <v>1144054</v>
      </c>
      <c r="B354" s="106" t="inlineStr">
        <is>
          <t xml:space="preserve">PROD EGGS FRESH </t>
        </is>
      </c>
      <c r="C354">
        <f>IF('Change Request Form'!$N$34="",0,COUNTIF(B354,"*"&amp;'Change Request Form'!$N$34&amp;"*"))</f>
        <v/>
      </c>
    </row>
    <row r="355">
      <c r="A355" s="102" t="n">
        <v>8163048</v>
      </c>
      <c r="B355" s="106" t="inlineStr">
        <is>
          <t>PROD GRAPE TOMATO</t>
        </is>
      </c>
      <c r="C355">
        <f>IF('Change Request Form'!$N$34="",0,COUNTIF(B355,"*"&amp;'Change Request Form'!$N$34&amp;"*"))</f>
        <v/>
      </c>
      <c r="D355" s="91" t="n">
        <v>1</v>
      </c>
    </row>
    <row r="356">
      <c r="A356" s="102" t="n">
        <v>8163054</v>
      </c>
      <c r="B356" s="106" t="inlineStr">
        <is>
          <t>PROD GRAPE TOMATO</t>
        </is>
      </c>
      <c r="C356">
        <f>IF('Change Request Form'!$N$34="",0,COUNTIF(B356,"*"&amp;'Change Request Form'!$N$34&amp;"*"))</f>
        <v/>
      </c>
      <c r="D356" s="91" t="n">
        <v>1</v>
      </c>
    </row>
    <row r="357">
      <c r="A357" s="102" t="n">
        <v>8163055</v>
      </c>
      <c r="B357" s="106" t="inlineStr">
        <is>
          <t>PROD GRAPE TOMATO</t>
        </is>
      </c>
      <c r="C357">
        <f>IF('Change Request Form'!$N$34="",0,COUNTIF(B357,"*"&amp;'Change Request Form'!$N$34&amp;"*"))</f>
        <v/>
      </c>
      <c r="D357" s="91" t="n">
        <v>1</v>
      </c>
    </row>
    <row r="358">
      <c r="A358" s="102" t="n">
        <v>18486</v>
      </c>
      <c r="B358" s="106" t="inlineStr">
        <is>
          <t>PROD LETTUCE SHREDDED</t>
        </is>
      </c>
      <c r="C358">
        <f>IF('Change Request Form'!$N$34="",0,COUNTIF(B358,"*"&amp;'Change Request Form'!$N$34&amp;"*"))</f>
        <v/>
      </c>
    </row>
    <row r="359">
      <c r="A359" s="102" t="n">
        <v>18559</v>
      </c>
      <c r="B359" s="106" t="inlineStr">
        <is>
          <t>PROD LETTUCE SHREDDED</t>
        </is>
      </c>
      <c r="C359">
        <f>IF('Change Request Form'!$N$34="",0,COUNTIF(B359,"*"&amp;'Change Request Form'!$N$34&amp;"*"))</f>
        <v/>
      </c>
    </row>
    <row r="360">
      <c r="A360" s="102" t="n">
        <v>18536</v>
      </c>
      <c r="B360" s="106" t="inlineStr">
        <is>
          <t>PROD LETTUCE SHREDDED</t>
        </is>
      </c>
      <c r="C360">
        <f>IF('Change Request Form'!$N$34="",0,COUNTIF(B360,"*"&amp;'Change Request Form'!$N$34&amp;"*"))</f>
        <v/>
      </c>
    </row>
    <row r="361">
      <c r="A361" s="102" t="n">
        <v>18450</v>
      </c>
      <c r="B361" s="106" t="inlineStr">
        <is>
          <t>PROD LETTUCE SHREDDED</t>
        </is>
      </c>
      <c r="C361">
        <f>IF('Change Request Form'!$N$34="",0,COUNTIF(B361,"*"&amp;'Change Request Form'!$N$34&amp;"*"))</f>
        <v/>
      </c>
    </row>
    <row r="362">
      <c r="A362" s="102" t="n">
        <v>5122104</v>
      </c>
      <c r="B362" s="106" t="inlineStr">
        <is>
          <t>PROD ONION RED SLIV</t>
        </is>
      </c>
      <c r="C362">
        <f>IF('Change Request Form'!$N$34="",0,COUNTIF(B362,"*"&amp;'Change Request Form'!$N$34&amp;"*"))</f>
        <v/>
      </c>
    </row>
    <row r="363">
      <c r="A363" s="102" t="n">
        <v>28290</v>
      </c>
      <c r="B363" s="106" t="inlineStr">
        <is>
          <t>PROD ONION RED SLIV</t>
        </is>
      </c>
      <c r="C363">
        <f>IF('Change Request Form'!$N$34="",0,COUNTIF(B363,"*"&amp;'Change Request Form'!$N$34&amp;"*"))</f>
        <v/>
      </c>
    </row>
    <row r="364">
      <c r="A364" s="102" t="n">
        <v>5122105</v>
      </c>
      <c r="B364" s="106" t="inlineStr">
        <is>
          <t>PROD ONION RED SLIV</t>
        </is>
      </c>
      <c r="C364">
        <f>IF('Change Request Form'!$N$34="",0,COUNTIF(B364,"*"&amp;'Change Request Form'!$N$34&amp;"*"))</f>
        <v/>
      </c>
    </row>
    <row r="365">
      <c r="A365" s="102" t="n">
        <v>56012</v>
      </c>
      <c r="B365" s="106" t="inlineStr">
        <is>
          <t>PROD ONIONS DEHYDRATED</t>
        </is>
      </c>
      <c r="C365">
        <f>IF('Change Request Form'!$N$34="",0,COUNTIF(B365,"*"&amp;'Change Request Form'!$N$34&amp;"*"))</f>
        <v/>
      </c>
      <c r="D365" s="91" t="n">
        <v>1</v>
      </c>
    </row>
    <row r="366">
      <c r="A366" s="102" t="n">
        <v>4183105</v>
      </c>
      <c r="B366" s="106" t="inlineStr">
        <is>
          <t>PROD ONIONS FRESH SLIVERED</t>
        </is>
      </c>
      <c r="C366">
        <f>IF('Change Request Form'!$N$34="",0,COUNTIF(B366,"*"&amp;'Change Request Form'!$N$34&amp;"*"))</f>
        <v/>
      </c>
    </row>
    <row r="367">
      <c r="A367" s="102" t="n">
        <v>28286</v>
      </c>
      <c r="B367" s="106" t="inlineStr">
        <is>
          <t>PROD ONIONS FRESH SLIVERED</t>
        </is>
      </c>
      <c r="C367">
        <f>IF('Change Request Form'!$N$34="",0,COUNTIF(B367,"*"&amp;'Change Request Form'!$N$34&amp;"*"))</f>
        <v/>
      </c>
    </row>
    <row r="368">
      <c r="A368" s="102" t="n">
        <v>28081</v>
      </c>
      <c r="B368" s="106" t="inlineStr">
        <is>
          <t>PROD ONIONS FRESH SLIVERED</t>
        </is>
      </c>
      <c r="C368">
        <f>IF('Change Request Form'!$N$34="",0,COUNTIF(B368,"*"&amp;'Change Request Form'!$N$34&amp;"*"))</f>
        <v/>
      </c>
    </row>
    <row r="369">
      <c r="A369" s="102" t="n">
        <v>6473010</v>
      </c>
      <c r="B369" s="106" t="inlineStr">
        <is>
          <t>PROD PEPITA SACHET</t>
        </is>
      </c>
      <c r="C369">
        <f>IF('Change Request Form'!$N$34="",0,COUNTIF(B369,"*"&amp;'Change Request Form'!$N$34&amp;"*"))</f>
        <v/>
      </c>
    </row>
    <row r="370">
      <c r="A370" s="102" t="n">
        <v>63111</v>
      </c>
      <c r="B370" s="106" t="inlineStr">
        <is>
          <t>PROD PICKLES</t>
        </is>
      </c>
      <c r="C370">
        <f>IF('Change Request Form'!$N$34="",0,COUNTIF(B370,"*"&amp;'Change Request Form'!$N$34&amp;"*"))</f>
        <v/>
      </c>
    </row>
    <row r="371">
      <c r="A371" s="102" t="n">
        <v>5819087</v>
      </c>
      <c r="B371" s="106" t="inlineStr">
        <is>
          <t>PROD SALAD DLM</t>
        </is>
      </c>
      <c r="C371">
        <f>IF('Change Request Form'!$N$34="",0,COUNTIF(B371,"*"&amp;'Change Request Form'!$N$34&amp;"*"))</f>
        <v/>
      </c>
    </row>
    <row r="372">
      <c r="A372" s="102" t="n">
        <v>134146</v>
      </c>
      <c r="B372" s="106" t="inlineStr">
        <is>
          <t>PROD SALAD DLM</t>
        </is>
      </c>
      <c r="C372">
        <f>IF('Change Request Form'!$N$34="",0,COUNTIF(B372,"*"&amp;'Change Request Form'!$N$34&amp;"*"))</f>
        <v/>
      </c>
    </row>
    <row r="373">
      <c r="A373" s="102" t="n">
        <v>134795</v>
      </c>
      <c r="B373" s="106" t="inlineStr">
        <is>
          <t>PROD SALAD DLM</t>
        </is>
      </c>
      <c r="C373">
        <f>IF('Change Request Form'!$N$34="",0,COUNTIF(B373,"*"&amp;'Change Request Form'!$N$34&amp;"*"))</f>
        <v/>
      </c>
    </row>
    <row r="374">
      <c r="A374" s="102" t="n">
        <v>253513</v>
      </c>
      <c r="B374" s="106" t="inlineStr">
        <is>
          <t>PROD TOMATOES</t>
        </is>
      </c>
      <c r="C374">
        <f>IF('Change Request Form'!$N$34="",0,COUNTIF(B374,"*"&amp;'Change Request Form'!$N$34&amp;"*"))</f>
        <v/>
      </c>
      <c r="D374" s="91" t="n">
        <v>1</v>
      </c>
    </row>
    <row r="375">
      <c r="A375" s="102" t="n">
        <v>253518</v>
      </c>
      <c r="B375" s="106" t="inlineStr">
        <is>
          <t>PROD TOMATOES</t>
        </is>
      </c>
      <c r="C375">
        <f>IF('Change Request Form'!$N$34="",0,COUNTIF(B375,"*"&amp;'Change Request Form'!$N$34&amp;"*"))</f>
        <v/>
      </c>
      <c r="D375" s="91" t="n">
        <v>1</v>
      </c>
    </row>
    <row r="376">
      <c r="A376" s="102" t="n">
        <v>253511</v>
      </c>
      <c r="B376" s="106" t="inlineStr">
        <is>
          <t>PROD TOMATOES</t>
        </is>
      </c>
      <c r="C376">
        <f>IF('Change Request Form'!$N$34="",0,COUNTIF(B376,"*"&amp;'Change Request Form'!$N$34&amp;"*"))</f>
        <v/>
      </c>
      <c r="D376" s="91" t="n">
        <v>1</v>
      </c>
    </row>
    <row r="377">
      <c r="A377" s="102" t="n">
        <v>7244022</v>
      </c>
      <c r="B377" s="106" t="inlineStr">
        <is>
          <t>SAUCE AIOLI NGT TUB</t>
        </is>
      </c>
      <c r="C377">
        <f>IF('Change Request Form'!$N$34="",0,COUNTIF(B377,"*"&amp;'Change Request Form'!$N$34&amp;"*"))</f>
        <v/>
      </c>
    </row>
    <row r="378">
      <c r="A378" s="102" t="n">
        <v>55371</v>
      </c>
      <c r="B378" s="106" t="inlineStr">
        <is>
          <t>SAUCE BIG MAC</t>
        </is>
      </c>
      <c r="C378">
        <f>IF('Change Request Form'!$N$34="",0,COUNTIF(B378,"*"&amp;'Change Request Form'!$N$34&amp;"*"))</f>
        <v/>
      </c>
    </row>
    <row r="379">
      <c r="A379" s="102" t="n">
        <v>55372</v>
      </c>
      <c r="B379" s="106" t="inlineStr">
        <is>
          <t>SAUCE BIG MAC</t>
        </is>
      </c>
      <c r="C379">
        <f>IF('Change Request Form'!$N$34="",0,COUNTIF(B379,"*"&amp;'Change Request Form'!$N$34&amp;"*"))</f>
        <v/>
      </c>
    </row>
    <row r="380">
      <c r="A380" s="102" t="n">
        <v>55333</v>
      </c>
      <c r="B380" s="106" t="inlineStr">
        <is>
          <t>SAUCE BIG MAC</t>
        </is>
      </c>
      <c r="C380">
        <f>IF('Change Request Form'!$N$34="",0,COUNTIF(B380,"*"&amp;'Change Request Form'!$N$34&amp;"*"))</f>
        <v/>
      </c>
    </row>
    <row r="381">
      <c r="A381" s="102" t="n">
        <v>7422111</v>
      </c>
      <c r="B381" s="106" t="inlineStr">
        <is>
          <t>SAUCE BIM CHOCOLATE</t>
        </is>
      </c>
      <c r="C381">
        <f>IF('Change Request Form'!$N$34="",0,COUNTIF(B381,"*"&amp;'Change Request Form'!$N$34&amp;"*"))</f>
        <v/>
      </c>
    </row>
    <row r="382">
      <c r="A382" s="102" t="n">
        <v>7422054</v>
      </c>
      <c r="B382" s="106" t="inlineStr">
        <is>
          <t>SAUCE BIM CHOCOLATE</t>
        </is>
      </c>
      <c r="C382">
        <f>IF('Change Request Form'!$N$34="",0,COUNTIF(B382,"*"&amp;'Change Request Form'!$N$34&amp;"*"))</f>
        <v/>
      </c>
    </row>
    <row r="383">
      <c r="A383" s="102" t="n">
        <v>705046</v>
      </c>
      <c r="B383" s="106" t="inlineStr">
        <is>
          <t>SAUCE GARLIC MAYO</t>
        </is>
      </c>
      <c r="C383">
        <f>IF('Change Request Form'!$N$34="",0,COUNTIF(B383,"*"&amp;'Change Request Form'!$N$34&amp;"*"))</f>
        <v/>
      </c>
    </row>
    <row r="384">
      <c r="A384" s="102" t="n">
        <v>4180175</v>
      </c>
      <c r="B384" s="106" t="inlineStr">
        <is>
          <t>SAUCE HOUSE GRILLED</t>
        </is>
      </c>
      <c r="C384">
        <f>IF('Change Request Form'!$N$34="",0,COUNTIF(B384,"*"&amp;'Change Request Form'!$N$34&amp;"*"))</f>
        <v/>
      </c>
    </row>
    <row r="385">
      <c r="A385" s="102" t="n">
        <v>8092003</v>
      </c>
      <c r="B385" s="106" t="inlineStr">
        <is>
          <t>SAUCE MCCHICKEN</t>
        </is>
      </c>
      <c r="C385">
        <f>IF('Change Request Form'!$N$34="",0,COUNTIF(B385,"*"&amp;'Change Request Form'!$N$34&amp;"*"))</f>
        <v/>
      </c>
    </row>
    <row r="386">
      <c r="A386" s="102" t="n">
        <v>7200099</v>
      </c>
      <c r="B386" s="106" t="inlineStr">
        <is>
          <t>SAUCE MCCHICKEN</t>
        </is>
      </c>
      <c r="C386">
        <f>IF('Change Request Form'!$N$34="",0,COUNTIF(B386,"*"&amp;'Change Request Form'!$N$34&amp;"*"))</f>
        <v/>
      </c>
    </row>
    <row r="387">
      <c r="A387" s="102" t="n">
        <v>10015</v>
      </c>
      <c r="B387" s="106" t="inlineStr">
        <is>
          <t>SAUCE MCCHICKEN</t>
        </is>
      </c>
      <c r="C387">
        <f>IF('Change Request Form'!$N$34="",0,COUNTIF(B387,"*"&amp;'Change Request Form'!$N$34&amp;"*"))</f>
        <v/>
      </c>
    </row>
    <row r="388">
      <c r="A388" s="102" t="n">
        <v>15328002</v>
      </c>
      <c r="B388" s="106" t="inlineStr">
        <is>
          <t>SAUCE MCCRISPY</t>
        </is>
      </c>
      <c r="C388">
        <f>IF('Change Request Form'!$N$34="",0,COUNTIF(B388,"*"&amp;'Change Request Form'!$N$34&amp;"*"))</f>
        <v/>
      </c>
    </row>
    <row r="389">
      <c r="A389" s="102" t="n">
        <v>395072</v>
      </c>
      <c r="B389" s="106" t="inlineStr">
        <is>
          <t xml:space="preserve">SAUCE MCRIB </t>
        </is>
      </c>
      <c r="C389">
        <f>IF('Change Request Form'!$N$34="",0,COUNTIF(B389,"*"&amp;'Change Request Form'!$N$34&amp;"*"))</f>
        <v/>
      </c>
    </row>
    <row r="390">
      <c r="A390" s="102" t="n">
        <v>26183</v>
      </c>
      <c r="B390" s="106" t="inlineStr">
        <is>
          <t>SAUCE MUSTARD POUCH</t>
        </is>
      </c>
      <c r="C390">
        <f>IF('Change Request Form'!$N$34="",0,COUNTIF(B390,"*"&amp;'Change Request Form'!$N$34&amp;"*"))</f>
        <v/>
      </c>
    </row>
    <row r="391">
      <c r="A391" s="102" t="n">
        <v>408308</v>
      </c>
      <c r="B391" s="106" t="inlineStr">
        <is>
          <t>SAUCE NGT BBQ PCH</t>
        </is>
      </c>
      <c r="C391">
        <f>IF('Change Request Form'!$N$34="",0,COUNTIF(B391,"*"&amp;'Change Request Form'!$N$34&amp;"*"))</f>
        <v/>
      </c>
    </row>
    <row r="392">
      <c r="A392" s="102" t="n">
        <v>408307</v>
      </c>
      <c r="B392" s="106" t="inlineStr">
        <is>
          <t>SAUCE PORTION OUTBACK BBQ</t>
        </is>
      </c>
      <c r="C392">
        <f>IF('Change Request Form'!$N$34="",0,COUNTIF(B392,"*"&amp;'Change Request Form'!$N$34&amp;"*"))</f>
        <v/>
      </c>
    </row>
    <row r="393">
      <c r="A393" s="102" t="n">
        <v>18452000</v>
      </c>
      <c r="B393" s="106" t="inlineStr">
        <is>
          <t>SAUCE PORTION SPICY BUFFALO</t>
        </is>
      </c>
      <c r="C393">
        <f>IF('Change Request Form'!$N$34="",0,COUNTIF(B393,"*"&amp;'Change Request Form'!$N$34&amp;"*"))</f>
        <v/>
      </c>
    </row>
    <row r="394">
      <c r="A394" s="102" t="n">
        <v>11012059</v>
      </c>
      <c r="B394" s="106" t="inlineStr">
        <is>
          <t>SAUCE PORTION TRUFFLE MAYO</t>
        </is>
      </c>
      <c r="C394">
        <f>IF('Change Request Form'!$N$34="",0,COUNTIF(B394,"*"&amp;'Change Request Form'!$N$34&amp;"*"))</f>
        <v/>
      </c>
    </row>
    <row r="395">
      <c r="A395" s="102" t="n">
        <v>18474000</v>
      </c>
      <c r="B395" s="106" t="inlineStr">
        <is>
          <t>SAUCE PORTION WASABI MAYO</t>
        </is>
      </c>
      <c r="C395">
        <f>IF('Change Request Form'!$N$34="",0,COUNTIF(B395,"*"&amp;'Change Request Form'!$N$34&amp;"*"))</f>
        <v/>
      </c>
    </row>
    <row r="396">
      <c r="A396" s="102" t="n">
        <v>408287</v>
      </c>
      <c r="B396" s="106" t="inlineStr">
        <is>
          <t>SAUCE PORTIONS BBQ</t>
        </is>
      </c>
      <c r="C396">
        <f>IF('Change Request Form'!$N$34="",0,COUNTIF(B396,"*"&amp;'Change Request Form'!$N$34&amp;"*"))</f>
        <v/>
      </c>
    </row>
    <row r="397">
      <c r="A397" s="102" t="n">
        <v>16045003</v>
      </c>
      <c r="B397" s="106" t="inlineStr">
        <is>
          <t>SAUCE PORTIONS CAJUN</t>
        </is>
      </c>
      <c r="C397">
        <f>IF('Change Request Form'!$N$34="",0,COUNTIF(B397,"*"&amp;'Change Request Form'!$N$34&amp;"*"))</f>
        <v/>
      </c>
    </row>
    <row r="398">
      <c r="A398" s="102" t="n">
        <v>410138</v>
      </c>
      <c r="B398" s="106" t="inlineStr">
        <is>
          <t>SAUCE PORTIONS MUSTARD</t>
        </is>
      </c>
      <c r="C398">
        <f>IF('Change Request Form'!$N$34="",0,COUNTIF(B398,"*"&amp;'Change Request Form'!$N$34&amp;"*"))</f>
        <v/>
      </c>
    </row>
    <row r="399">
      <c r="A399" s="102" t="n">
        <v>409256</v>
      </c>
      <c r="B399" s="106" t="inlineStr">
        <is>
          <t>SAUCE PORTIONS SWEET N SOUR</t>
        </is>
      </c>
      <c r="C399">
        <f>IF('Change Request Form'!$N$34="",0,COUNTIF(B399,"*"&amp;'Change Request Form'!$N$34&amp;"*"))</f>
        <v/>
      </c>
    </row>
    <row r="400">
      <c r="A400" s="102" t="n">
        <v>409259</v>
      </c>
      <c r="B400" s="106" t="inlineStr">
        <is>
          <t>SAUCE PORTIONS SWEET N SOUR</t>
        </is>
      </c>
      <c r="C400">
        <f>IF('Change Request Form'!$N$34="",0,COUNTIF(B400,"*"&amp;'Change Request Form'!$N$34&amp;"*"))</f>
        <v/>
      </c>
    </row>
    <row r="401">
      <c r="A401" s="102" t="n">
        <v>409244</v>
      </c>
      <c r="B401" s="106" t="inlineStr">
        <is>
          <t>SAUCE PORTIONS SWEET N SOUR</t>
        </is>
      </c>
      <c r="C401">
        <f>IF('Change Request Form'!$N$34="",0,COUNTIF(B401,"*"&amp;'Change Request Form'!$N$34&amp;"*"))</f>
        <v/>
      </c>
    </row>
    <row r="402">
      <c r="A402" s="102" t="n">
        <v>4180203</v>
      </c>
      <c r="B402" s="106" t="inlineStr">
        <is>
          <t>SAUCE STICKY BBQ BRG 10X500GM</t>
        </is>
      </c>
      <c r="C402">
        <f>IF('Change Request Form'!$N$34="",0,COUNTIF(B402,"*"&amp;'Change Request Form'!$N$34&amp;"*"))</f>
        <v/>
      </c>
    </row>
    <row r="403">
      <c r="A403" s="102" t="n">
        <v>8103000</v>
      </c>
      <c r="B403" s="106" t="inlineStr">
        <is>
          <t>SAUCE SWT N SOUR PCH</t>
        </is>
      </c>
      <c r="C403">
        <f>IF('Change Request Form'!$N$34="",0,COUNTIF(B403,"*"&amp;'Change Request Form'!$N$34&amp;"*"))</f>
        <v/>
      </c>
    </row>
    <row r="404">
      <c r="A404" s="102" t="n">
        <v>9320</v>
      </c>
      <c r="B404" s="106" t="inlineStr">
        <is>
          <t>SAUCE TARTARE</t>
        </is>
      </c>
      <c r="C404">
        <f>IF('Change Request Form'!$N$34="",0,COUNTIF(B404,"*"&amp;'Change Request Form'!$N$34&amp;"*"))</f>
        <v/>
      </c>
    </row>
    <row r="405">
      <c r="A405" s="102" t="n">
        <v>9321</v>
      </c>
      <c r="B405" s="106" t="inlineStr">
        <is>
          <t>SAUCE TARTARE</t>
        </is>
      </c>
      <c r="C405">
        <f>IF('Change Request Form'!$N$34="",0,COUNTIF(B405,"*"&amp;'Change Request Form'!$N$34&amp;"*"))</f>
        <v/>
      </c>
    </row>
    <row r="406">
      <c r="A406" s="102" t="n">
        <v>9027</v>
      </c>
      <c r="B406" s="106" t="inlineStr">
        <is>
          <t>SAUCE TARTARE</t>
        </is>
      </c>
      <c r="C406">
        <f>IF('Change Request Form'!$N$34="",0,COUNTIF(B406,"*"&amp;'Change Request Form'!$N$34&amp;"*"))</f>
        <v/>
      </c>
    </row>
    <row r="407">
      <c r="A407" s="102" t="n">
        <v>16461000</v>
      </c>
      <c r="B407" s="106" t="inlineStr">
        <is>
          <t>SAUCE TIM TAM McFLURRY</t>
        </is>
      </c>
      <c r="C407">
        <f>IF('Change Request Form'!$N$34="",0,COUNTIF(B407,"*"&amp;'Change Request Form'!$N$34&amp;"*"))</f>
        <v/>
      </c>
    </row>
    <row r="408">
      <c r="A408" s="102" t="n">
        <v>3808082</v>
      </c>
      <c r="B408" s="106" t="inlineStr">
        <is>
          <t xml:space="preserve">SAUCE TOMATO CHILLI </t>
        </is>
      </c>
      <c r="C408">
        <f>IF('Change Request Form'!$N$34="",0,COUNTIF(B408,"*"&amp;'Change Request Form'!$N$34&amp;"*"))</f>
        <v/>
      </c>
    </row>
    <row r="409">
      <c r="A409" s="102" t="n">
        <v>5665081</v>
      </c>
      <c r="B409" s="106" t="inlineStr">
        <is>
          <t>SAUCE TOMATO ONION RELISH</t>
        </is>
      </c>
      <c r="C409">
        <f>IF('Change Request Form'!$N$34="",0,COUNTIF(B409,"*"&amp;'Change Request Form'!$N$34&amp;"*"))</f>
        <v/>
      </c>
    </row>
    <row r="410">
      <c r="A410" s="102" t="n">
        <v>6408000</v>
      </c>
      <c r="B410" s="106" t="inlineStr">
        <is>
          <t>SEASONING SAUSAGE HALAL</t>
        </is>
      </c>
      <c r="C410">
        <f>IF('Change Request Form'!$N$34="",0,COUNTIF(B410,"*"&amp;'Change Request Form'!$N$34&amp;"*"))</f>
        <v/>
      </c>
    </row>
    <row r="411">
      <c r="A411" s="102" t="n">
        <v>11375</v>
      </c>
      <c r="B411" s="106" t="inlineStr">
        <is>
          <t>SHAKE MIX</t>
        </is>
      </c>
      <c r="C411">
        <f>IF('Change Request Form'!$N$34="",0,COUNTIF(B411,"*"&amp;'Change Request Form'!$N$34&amp;"*"))</f>
        <v/>
      </c>
    </row>
    <row r="412">
      <c r="A412" s="102" t="n">
        <v>11378</v>
      </c>
      <c r="B412" s="106" t="inlineStr">
        <is>
          <t>SHAKE MIX</t>
        </is>
      </c>
      <c r="C412">
        <f>IF('Change Request Form'!$N$34="",0,COUNTIF(B412,"*"&amp;'Change Request Form'!$N$34&amp;"*"))</f>
        <v/>
      </c>
    </row>
    <row r="413">
      <c r="A413" s="102" t="n">
        <v>11363</v>
      </c>
      <c r="B413" s="106" t="inlineStr">
        <is>
          <t>SHAKE MIX</t>
        </is>
      </c>
      <c r="C413">
        <f>IF('Change Request Form'!$N$34="",0,COUNTIF(B413,"*"&amp;'Change Request Form'!$N$34&amp;"*"))</f>
        <v/>
      </c>
    </row>
    <row r="414">
      <c r="A414" s="102" t="n">
        <v>11267</v>
      </c>
      <c r="B414" s="106" t="inlineStr">
        <is>
          <t>SHAKE MIX</t>
        </is>
      </c>
      <c r="C414">
        <f>IF('Change Request Form'!$N$34="",0,COUNTIF(B414,"*"&amp;'Change Request Form'!$N$34&amp;"*"))</f>
        <v/>
      </c>
    </row>
    <row r="415">
      <c r="A415" s="102" t="n">
        <v>2589509</v>
      </c>
      <c r="B415" s="106" t="inlineStr">
        <is>
          <t>SPRAY OIL 15L</t>
        </is>
      </c>
      <c r="C415">
        <f>IF('Change Request Form'!$N$34="",0,COUNTIF(B415,"*"&amp;'Change Request Form'!$N$34&amp;"*"))</f>
        <v/>
      </c>
    </row>
    <row r="416">
      <c r="A416" s="102" t="n">
        <v>3270027</v>
      </c>
      <c r="B416" s="106" t="inlineStr">
        <is>
          <t>STICKER GRILL MADE TO ORDER</t>
        </is>
      </c>
      <c r="C416">
        <f>IF('Change Request Form'!$N$34="",0,COUNTIF(B416,"*"&amp;'Change Request Form'!$N$34&amp;"*"))</f>
        <v/>
      </c>
    </row>
    <row r="417">
      <c r="A417" s="102" t="n">
        <v>2087219</v>
      </c>
      <c r="B417" s="106" t="inlineStr">
        <is>
          <t>STICKER LABEL DATE</t>
        </is>
      </c>
      <c r="C417">
        <f>IF('Change Request Form'!$N$34="",0,COUNTIF(B417,"*"&amp;'Change Request Form'!$N$34&amp;"*"))</f>
        <v/>
      </c>
    </row>
    <row r="418">
      <c r="A418" s="102" t="n">
        <v>223542</v>
      </c>
      <c r="B418" s="106" t="inlineStr">
        <is>
          <t>STRAW REGULAR</t>
        </is>
      </c>
      <c r="C418">
        <f>IF('Change Request Form'!$N$34="",0,COUNTIF(B418,"*"&amp;'Change Request Form'!$N$34&amp;"*"))</f>
        <v/>
      </c>
      <c r="D418" s="91" t="n">
        <v>1</v>
      </c>
    </row>
    <row r="419">
      <c r="A419" s="102" t="n">
        <v>223526</v>
      </c>
      <c r="B419" s="106" t="inlineStr">
        <is>
          <t>STRAW REGULAR</t>
        </is>
      </c>
      <c r="C419">
        <f>IF('Change Request Form'!$N$34="",0,COUNTIF(B419,"*"&amp;'Change Request Form'!$N$34&amp;"*"))</f>
        <v/>
      </c>
      <c r="D419" s="91" t="n">
        <v>1</v>
      </c>
    </row>
    <row r="420">
      <c r="A420" s="102" t="n">
        <v>12632</v>
      </c>
      <c r="B420" s="106" t="inlineStr">
        <is>
          <t>SUNDAE MIX</t>
        </is>
      </c>
      <c r="C420">
        <f>IF('Change Request Form'!$N$34="",0,COUNTIF(B420,"*"&amp;'Change Request Form'!$N$34&amp;"*"))</f>
        <v/>
      </c>
    </row>
    <row r="421">
      <c r="A421" s="102" t="n">
        <v>12635</v>
      </c>
      <c r="B421" s="106" t="inlineStr">
        <is>
          <t>SUNDAE MIX</t>
        </is>
      </c>
      <c r="C421">
        <f>IF('Change Request Form'!$N$34="",0,COUNTIF(B421,"*"&amp;'Change Request Form'!$N$34&amp;"*"))</f>
        <v/>
      </c>
    </row>
    <row r="422">
      <c r="A422" s="102" t="n">
        <v>12634</v>
      </c>
      <c r="B422" s="106" t="inlineStr">
        <is>
          <t>SUNDAE MIX</t>
        </is>
      </c>
      <c r="C422">
        <f>IF('Change Request Form'!$N$34="",0,COUNTIF(B422,"*"&amp;'Change Request Form'!$N$34&amp;"*"))</f>
        <v/>
      </c>
    </row>
    <row r="423">
      <c r="A423" s="102" t="n">
        <v>12622</v>
      </c>
      <c r="B423" s="106" t="inlineStr">
        <is>
          <t>SUNDAE MIX</t>
        </is>
      </c>
      <c r="C423">
        <f>IF('Change Request Form'!$N$34="",0,COUNTIF(B423,"*"&amp;'Change Request Form'!$N$34&amp;"*"))</f>
        <v/>
      </c>
    </row>
    <row r="424">
      <c r="A424" s="102" t="n">
        <v>4331009</v>
      </c>
      <c r="B424" s="106" t="inlineStr">
        <is>
          <t>SYRUP FCB COCA COLA (COKE)</t>
        </is>
      </c>
      <c r="C424">
        <f>IF('Change Request Form'!$N$34="",0,COUNTIF(B424,"*"&amp;'Change Request Form'!$N$34&amp;"*"))</f>
        <v/>
      </c>
    </row>
    <row r="425">
      <c r="A425" s="102" t="n">
        <v>4331025</v>
      </c>
      <c r="B425" s="106" t="inlineStr">
        <is>
          <t xml:space="preserve">SYRUP FCB COKE CREATION </t>
        </is>
      </c>
      <c r="C425">
        <f>IF('Change Request Form'!$N$34="",0,COUNTIF(B425,"*"&amp;'Change Request Form'!$N$34&amp;"*"))</f>
        <v/>
      </c>
    </row>
    <row r="426">
      <c r="A426" s="102" t="n">
        <v>42269</v>
      </c>
      <c r="B426" s="106" t="inlineStr">
        <is>
          <t>SYRUP FCB COKE NO SUGAR</t>
        </is>
      </c>
      <c r="C426">
        <f>IF('Change Request Form'!$N$34="",0,COUNTIF(B426,"*"&amp;'Change Request Form'!$N$34&amp;"*"))</f>
        <v/>
      </c>
    </row>
    <row r="427">
      <c r="A427" s="102" t="n">
        <v>13222006</v>
      </c>
      <c r="B427" s="106" t="inlineStr">
        <is>
          <t>SYRUP FCB FANTA NEUTRAL</t>
        </is>
      </c>
      <c r="C427">
        <f>IF('Change Request Form'!$N$34="",0,COUNTIF(B427,"*"&amp;'Change Request Form'!$N$34&amp;"*"))</f>
        <v/>
      </c>
    </row>
    <row r="428">
      <c r="A428" s="102" t="n">
        <v>33037</v>
      </c>
      <c r="B428" s="106" t="inlineStr">
        <is>
          <t>SYRUP HOT CAKE</t>
        </is>
      </c>
      <c r="C428">
        <f>IF('Change Request Form'!$N$34="",0,COUNTIF(B428,"*"&amp;'Change Request Form'!$N$34&amp;"*"))</f>
        <v/>
      </c>
    </row>
    <row r="429">
      <c r="A429" s="102" t="n">
        <v>19067</v>
      </c>
      <c r="B429" s="106" t="inlineStr">
        <is>
          <t>SYRUP POSTMIX COCA COLA (COKE)</t>
        </is>
      </c>
      <c r="C429">
        <f>IF('Change Request Form'!$N$34="",0,COUNTIF(B429,"*"&amp;'Change Request Form'!$N$34&amp;"*"))</f>
        <v/>
      </c>
    </row>
    <row r="430">
      <c r="A430" s="102" t="n">
        <v>42274</v>
      </c>
      <c r="B430" s="106" t="inlineStr">
        <is>
          <t>SYRUP POSTMIX COKE NO SUGAR</t>
        </is>
      </c>
      <c r="C430">
        <f>IF('Change Request Form'!$N$34="",0,COUNTIF(B430,"*"&amp;'Change Request Form'!$N$34&amp;"*"))</f>
        <v/>
      </c>
    </row>
    <row r="431">
      <c r="A431" s="102" t="n">
        <v>21079</v>
      </c>
      <c r="B431" s="106" t="inlineStr">
        <is>
          <t>SYRUP POSTMIX FANTA ORANGE</t>
        </is>
      </c>
      <c r="C431">
        <f>IF('Change Request Form'!$N$34="",0,COUNTIF(B431,"*"&amp;'Change Request Form'!$N$34&amp;"*"))</f>
        <v/>
      </c>
    </row>
    <row r="432">
      <c r="A432" s="102" t="n">
        <v>168399</v>
      </c>
      <c r="B432" s="106" t="inlineStr">
        <is>
          <t>SYRUP POSTMIX SPRITE</t>
        </is>
      </c>
      <c r="C432">
        <f>IF('Change Request Form'!$N$34="",0,COUNTIF(B432,"*"&amp;'Change Request Form'!$N$34&amp;"*"))</f>
        <v/>
      </c>
    </row>
    <row r="433">
      <c r="A433" s="102" t="n">
        <v>8271016</v>
      </c>
      <c r="B433" s="106" t="inlineStr">
        <is>
          <t>SYRUP POSTMIX VAN COKE</t>
        </is>
      </c>
      <c r="C433">
        <f>IF('Change Request Form'!$N$34="",0,COUNTIF(B433,"*"&amp;'Change Request Form'!$N$34&amp;"*"))</f>
        <v/>
      </c>
    </row>
    <row r="434">
      <c r="A434" s="102" t="n">
        <v>61168</v>
      </c>
      <c r="B434" s="106" t="inlineStr">
        <is>
          <t>SYRUP SHAKE CHOCOLATE</t>
        </is>
      </c>
      <c r="C434">
        <f>IF('Change Request Form'!$N$34="",0,COUNTIF(B434,"*"&amp;'Change Request Form'!$N$34&amp;"*"))</f>
        <v/>
      </c>
    </row>
    <row r="435">
      <c r="A435" s="102" t="n">
        <v>61046</v>
      </c>
      <c r="B435" s="106" t="inlineStr">
        <is>
          <t>SYRUP SHAKE CHOCOLATE</t>
        </is>
      </c>
      <c r="C435">
        <f>IF('Change Request Form'!$N$34="",0,COUNTIF(B435,"*"&amp;'Change Request Form'!$N$34&amp;"*"))</f>
        <v/>
      </c>
    </row>
    <row r="436">
      <c r="A436" s="102" t="n">
        <v>62192</v>
      </c>
      <c r="B436" s="106" t="inlineStr">
        <is>
          <t>SYRUP SHAKE STRAWBERRY</t>
        </is>
      </c>
      <c r="C436">
        <f>IF('Change Request Form'!$N$34="",0,COUNTIF(B436,"*"&amp;'Change Request Form'!$N$34&amp;"*"))</f>
        <v/>
      </c>
    </row>
    <row r="437">
      <c r="A437" s="102" t="n">
        <v>62014</v>
      </c>
      <c r="B437" s="106" t="inlineStr">
        <is>
          <t>SYRUP SHAKE STRAWBERRY</t>
        </is>
      </c>
      <c r="C437">
        <f>IF('Change Request Form'!$N$34="",0,COUNTIF(B437,"*"&amp;'Change Request Form'!$N$34&amp;"*"))</f>
        <v/>
      </c>
    </row>
    <row r="438">
      <c r="A438" s="102" t="n">
        <v>60143</v>
      </c>
      <c r="B438" s="106" t="inlineStr">
        <is>
          <t>SYRUP SHAKE VANILLA</t>
        </is>
      </c>
      <c r="C438">
        <f>IF('Change Request Form'!$N$34="",0,COUNTIF(B438,"*"&amp;'Change Request Form'!$N$34&amp;"*"))</f>
        <v/>
      </c>
    </row>
    <row r="439">
      <c r="A439" s="102" t="n">
        <v>60093</v>
      </c>
      <c r="B439" s="106" t="inlineStr">
        <is>
          <t>SYRUP SHAKE VANILLA</t>
        </is>
      </c>
      <c r="C439">
        <f>IF('Change Request Form'!$N$34="",0,COUNTIF(B439,"*"&amp;'Change Request Form'!$N$34&amp;"*"))</f>
        <v/>
      </c>
    </row>
    <row r="440">
      <c r="A440" s="102" t="n">
        <v>5477102</v>
      </c>
      <c r="B440" s="106" t="inlineStr">
        <is>
          <t xml:space="preserve">TIM TAM BISCUIT CRUMB </t>
        </is>
      </c>
      <c r="C440">
        <f>IF('Change Request Form'!$N$34="",0,COUNTIF(B440,"*"&amp;'Change Request Form'!$N$34&amp;"*"))</f>
        <v/>
      </c>
    </row>
    <row r="441">
      <c r="A441" s="102" t="n">
        <v>385138</v>
      </c>
      <c r="B441" s="106" t="inlineStr">
        <is>
          <t>TISSUE CONE WRAP POCO</t>
        </is>
      </c>
      <c r="C441">
        <f>IF('Change Request Form'!$N$34="",0,COUNTIF(B441,"*"&amp;'Change Request Form'!$N$34&amp;"*"))</f>
        <v/>
      </c>
      <c r="D441" s="91" t="n">
        <v>1</v>
      </c>
    </row>
    <row r="442">
      <c r="A442" s="102" t="n">
        <v>69035</v>
      </c>
      <c r="B442" s="106" t="inlineStr">
        <is>
          <t>TOPPING CARAMEL</t>
        </is>
      </c>
      <c r="C442">
        <f>IF('Change Request Form'!$N$34="",0,COUNTIF(B442,"*"&amp;'Change Request Form'!$N$34&amp;"*"))</f>
        <v/>
      </c>
    </row>
    <row r="443">
      <c r="A443" s="102" t="n">
        <v>3017011</v>
      </c>
      <c r="B443" s="106" t="inlineStr">
        <is>
          <t>TOPPING CHOCOLATE</t>
        </is>
      </c>
      <c r="C443">
        <f>IF('Change Request Form'!$N$34="",0,COUNTIF(B443,"*"&amp;'Change Request Form'!$N$34&amp;"*"))</f>
        <v/>
      </c>
    </row>
    <row r="444">
      <c r="A444" s="102" t="n">
        <v>3470102</v>
      </c>
      <c r="B444" s="106" t="inlineStr">
        <is>
          <t>TOPPING MCFLURRY M&amp;M MINI</t>
        </is>
      </c>
      <c r="C444">
        <f>IF('Change Request Form'!$N$34="",0,COUNTIF(B444,"*"&amp;'Change Request Form'!$N$34&amp;"*"))</f>
        <v/>
      </c>
    </row>
    <row r="445">
      <c r="A445" s="102" t="n">
        <v>8442107</v>
      </c>
      <c r="B445" s="106" t="inlineStr">
        <is>
          <t>TOPPING MILO</t>
        </is>
      </c>
      <c r="C445">
        <f>IF('Change Request Form'!$N$34="",0,COUNTIF(B445,"*"&amp;'Change Request Form'!$N$34&amp;"*"))</f>
        <v/>
      </c>
    </row>
    <row r="446" ht="16.8" customHeight="1">
      <c r="A446" s="104" t="n">
        <v>3471116</v>
      </c>
      <c r="B446" s="106" t="inlineStr">
        <is>
          <t>TOPPING OREO CRUMB</t>
        </is>
      </c>
      <c r="C446">
        <f>IF('Change Request Form'!$N$34="",0,COUNTIF(B446,"*"&amp;'Change Request Form'!$N$34&amp;"*"))</f>
        <v/>
      </c>
    </row>
    <row r="447">
      <c r="A447" s="102" t="n">
        <v>562105</v>
      </c>
      <c r="B447" s="106" t="inlineStr">
        <is>
          <t>TOPPING PINEAPPLE</t>
        </is>
      </c>
      <c r="C447">
        <f>IF('Change Request Form'!$N$34="",0,COUNTIF(B447,"*"&amp;'Change Request Form'!$N$34&amp;"*"))</f>
        <v/>
      </c>
    </row>
    <row r="448">
      <c r="A448" s="102" t="n">
        <v>704110</v>
      </c>
      <c r="B448" s="106" t="inlineStr">
        <is>
          <t>TOPPING RASPBERRY</t>
        </is>
      </c>
      <c r="C448">
        <f>IF('Change Request Form'!$N$34="",0,COUNTIF(B448,"*"&amp;'Change Request Form'!$N$34&amp;"*"))</f>
        <v/>
      </c>
    </row>
    <row r="449">
      <c r="A449" s="102" t="n">
        <v>752133</v>
      </c>
      <c r="B449" s="106" t="inlineStr">
        <is>
          <t>TOPPING SALTED TOFFEE</t>
        </is>
      </c>
      <c r="C449">
        <f>IF('Change Request Form'!$N$34="",0,COUNTIF(B449,"*"&amp;'Change Request Form'!$N$34&amp;"*"))</f>
        <v/>
      </c>
    </row>
    <row r="450">
      <c r="A450" s="102" t="n">
        <v>67201</v>
      </c>
      <c r="B450" s="106" t="inlineStr">
        <is>
          <t>TOPPING STRAWBERRY</t>
        </is>
      </c>
      <c r="C450">
        <f>IF('Change Request Form'!$N$34="",0,COUNTIF(B450,"*"&amp;'Change Request Form'!$N$34&amp;"*"))</f>
        <v/>
      </c>
      <c r="D450" s="91" t="n">
        <v>1</v>
      </c>
    </row>
    <row r="451">
      <c r="A451" s="102" t="n">
        <v>3850052</v>
      </c>
      <c r="B451" s="106" t="inlineStr">
        <is>
          <t>TORTILLA 10 INCH</t>
        </is>
      </c>
      <c r="C451">
        <f>IF('Change Request Form'!$N$34="",0,COUNTIF(B451,"*"&amp;'Change Request Form'!$N$34&amp;"*"))</f>
        <v/>
      </c>
    </row>
    <row r="452">
      <c r="A452" s="102" t="n">
        <v>3850051</v>
      </c>
      <c r="B452" s="106" t="inlineStr">
        <is>
          <t>TORTILLA 8 INCH</t>
        </is>
      </c>
      <c r="C452">
        <f>IF('Change Request Form'!$N$34="",0,COUNTIF(B452,"*"&amp;'Change Request Form'!$N$34&amp;"*"))</f>
        <v/>
      </c>
    </row>
    <row r="453">
      <c r="A453" s="102" t="n">
        <v>398908</v>
      </c>
      <c r="B453" s="106" t="inlineStr">
        <is>
          <t>TRAYMAT NON PROMOTIONAL</t>
        </is>
      </c>
      <c r="C453">
        <f>IF('Change Request Form'!$N$34="",0,COUNTIF(B453,"*"&amp;'Change Request Form'!$N$34&amp;"*"))</f>
        <v/>
      </c>
    </row>
    <row r="454">
      <c r="A454" s="102" t="n">
        <v>18631002</v>
      </c>
      <c r="B454" s="106" t="inlineStr">
        <is>
          <t>TRAYMAT NON PROMOTIONAL</t>
        </is>
      </c>
      <c r="C454">
        <f>IF('Change Request Form'!$N$34="",0,COUNTIF(B454,"*"&amp;'Change Request Form'!$N$34&amp;"*"))</f>
        <v/>
      </c>
    </row>
    <row r="455">
      <c r="A455" s="102" t="n">
        <v>18631001</v>
      </c>
      <c r="B455" s="106" t="inlineStr">
        <is>
          <t>TRAYMAT NON PROMOTIONAL</t>
        </is>
      </c>
      <c r="C455">
        <f>IF('Change Request Form'!$N$34="",0,COUNTIF(B455,"*"&amp;'Change Request Form'!$N$34&amp;"*"))</f>
        <v/>
      </c>
    </row>
    <row r="456">
      <c r="A456" s="102" t="n">
        <v>397148</v>
      </c>
      <c r="B456" s="106" t="inlineStr">
        <is>
          <t>TRAYS 4 CUP CARRY</t>
        </is>
      </c>
      <c r="C456">
        <f>IF('Change Request Form'!$N$34="",0,COUNTIF(B456,"*"&amp;'Change Request Form'!$N$34&amp;"*"))</f>
        <v/>
      </c>
    </row>
    <row r="457">
      <c r="A457" s="102" t="n">
        <v>4703027</v>
      </c>
      <c r="B457" s="106" t="inlineStr">
        <is>
          <t>TRAYS CONE HOLDERS</t>
        </is>
      </c>
      <c r="C457">
        <f>IF('Change Request Form'!$N$34="",0,COUNTIF(B457,"*"&amp;'Change Request Form'!$N$34&amp;"*"))</f>
        <v/>
      </c>
      <c r="D457" s="91" t="n">
        <v>1</v>
      </c>
    </row>
    <row r="458">
      <c r="A458" s="102" t="n">
        <v>3168104</v>
      </c>
      <c r="B458" s="106" t="inlineStr">
        <is>
          <t>UTENSIL CUTLERY SET 2 PCE</t>
        </is>
      </c>
      <c r="C458">
        <f>IF('Change Request Form'!$N$34="",0,COUNTIF(B458,"*"&amp;'Change Request Form'!$N$34&amp;"*"))</f>
        <v/>
      </c>
      <c r="D458" s="91" t="n">
        <v>1</v>
      </c>
    </row>
    <row r="459">
      <c r="A459" s="102" t="n">
        <v>353143</v>
      </c>
      <c r="B459" s="106" t="inlineStr">
        <is>
          <t>UTENSIL FORK BULK</t>
        </is>
      </c>
      <c r="C459">
        <f>IF('Change Request Form'!$N$34="",0,COUNTIF(B459,"*"&amp;'Change Request Form'!$N$34&amp;"*"))</f>
        <v/>
      </c>
      <c r="D459" s="91" t="n">
        <v>1</v>
      </c>
    </row>
    <row r="460">
      <c r="A460" s="102" t="n">
        <v>319104</v>
      </c>
      <c r="B460" s="106" t="inlineStr">
        <is>
          <t>UTENSIL KNIFE SERRATED BULK</t>
        </is>
      </c>
      <c r="C460">
        <f>IF('Change Request Form'!$N$34="",0,COUNTIF(B460,"*"&amp;'Change Request Form'!$N$34&amp;"*"))</f>
        <v/>
      </c>
      <c r="D460" s="91" t="n">
        <v>1</v>
      </c>
    </row>
    <row r="461">
      <c r="A461" s="102" t="n">
        <v>350172</v>
      </c>
      <c r="B461" s="106" t="inlineStr">
        <is>
          <t>UTENSIL SPOON BULK</t>
        </is>
      </c>
      <c r="C461">
        <f>IF('Change Request Form'!$N$34="",0,COUNTIF(B461,"*"&amp;'Change Request Form'!$N$34&amp;"*"))</f>
        <v/>
      </c>
      <c r="D461" s="91" t="n">
        <v>1</v>
      </c>
    </row>
    <row r="462">
      <c r="A462" s="102" t="n">
        <v>170139</v>
      </c>
      <c r="B462" s="106" t="inlineStr">
        <is>
          <t>UTENSIL STIRRER BULK</t>
        </is>
      </c>
      <c r="C462">
        <f>IF('Change Request Form'!$N$34="",0,COUNTIF(B462,"*"&amp;'Change Request Form'!$N$34&amp;"*"))</f>
        <v/>
      </c>
    </row>
    <row r="463">
      <c r="A463" s="102" t="n">
        <v>3769135</v>
      </c>
      <c r="B463" s="106" t="inlineStr">
        <is>
          <t>WATER 250ML</t>
        </is>
      </c>
      <c r="C463">
        <f>IF('Change Request Form'!$N$34="",0,COUNTIF(B463,"*"&amp;'Change Request Form'!$N$34&amp;"*"))</f>
        <v/>
      </c>
    </row>
    <row r="464">
      <c r="A464" s="102" t="n">
        <v>8347096</v>
      </c>
      <c r="B464" s="106" t="inlineStr">
        <is>
          <t>WATER 600ML</t>
        </is>
      </c>
      <c r="C464">
        <f>IF('Change Request Form'!$N$34="",0,COUNTIF(B464,"*"&amp;'Change Request Form'!$N$34&amp;"*"))</f>
        <v/>
      </c>
    </row>
    <row r="465">
      <c r="A465" s="102" t="n">
        <v>8347102</v>
      </c>
      <c r="B465" s="106" t="inlineStr">
        <is>
          <t>WATER 600ML</t>
        </is>
      </c>
      <c r="C465">
        <f>IF('Change Request Form'!$N$34="",0,COUNTIF(B465,"*"&amp;'Change Request Form'!$N$34&amp;"*"))</f>
        <v/>
      </c>
    </row>
    <row r="466">
      <c r="A466" s="102" t="n">
        <v>285814</v>
      </c>
      <c r="B466" s="106" t="inlineStr">
        <is>
          <t>WRAP CHEESEBURGER</t>
        </is>
      </c>
      <c r="C466">
        <f>IF('Change Request Form'!$N$34="",0,COUNTIF(B466,"*"&amp;'Change Request Form'!$N$34&amp;"*"))</f>
        <v/>
      </c>
    </row>
    <row r="467">
      <c r="A467" s="102" t="n">
        <v>1179383</v>
      </c>
      <c r="B467" s="106" t="inlineStr">
        <is>
          <t xml:space="preserve">WRAP DBL CHEESEBURGER </t>
        </is>
      </c>
      <c r="C467">
        <f>IF('Change Request Form'!$N$34="",0,COUNTIF(B467,"*"&amp;'Change Request Form'!$N$34&amp;"*"))</f>
        <v/>
      </c>
      <c r="D467" s="91" t="n">
        <v>1</v>
      </c>
    </row>
    <row r="468">
      <c r="A468" s="102" t="n">
        <v>284970</v>
      </c>
      <c r="B468" s="106" t="inlineStr">
        <is>
          <t>WRAP HAMBURGER</t>
        </is>
      </c>
      <c r="C468">
        <f>IF('Change Request Form'!$N$34="",0,COUNTIF(B468,"*"&amp;'Change Request Form'!$N$34&amp;"*"))</f>
        <v/>
      </c>
      <c r="D468" s="91" t="n">
        <v>1</v>
      </c>
    </row>
    <row r="469">
      <c r="A469" s="102" t="n">
        <v>7628031</v>
      </c>
      <c r="B469" s="106" t="inlineStr">
        <is>
          <t>WRAP MINI SNACK</t>
        </is>
      </c>
      <c r="C469">
        <f>IF('Change Request Form'!$N$34="",0,COUNTIF(B469,"*"&amp;'Change Request Form'!$N$34&amp;"*"))</f>
        <v/>
      </c>
      <c r="D469" s="91" t="n">
        <v>1</v>
      </c>
    </row>
    <row r="470">
      <c r="A470" s="102" t="n">
        <v>4711018</v>
      </c>
      <c r="B470" s="106" t="inlineStr">
        <is>
          <t>WRAP MULTI 4 IN 1 GENERIC</t>
        </is>
      </c>
      <c r="C470">
        <f>IF('Change Request Form'!$N$34="",0,COUNTIF(B470,"*"&amp;'Change Request Form'!$N$34&amp;"*"))</f>
        <v/>
      </c>
    </row>
    <row r="471">
      <c r="A471" s="102" t="n">
        <v>7628032</v>
      </c>
      <c r="B471" s="106" t="inlineStr">
        <is>
          <t>WRAP MULTI BREAKFAST</t>
        </is>
      </c>
      <c r="C471">
        <f>IF('Change Request Form'!$N$34="",0,COUNTIF(B471,"*"&amp;'Change Request Form'!$N$34&amp;"*"))</f>
        <v/>
      </c>
    </row>
    <row r="472">
      <c r="A472" s="102" t="n">
        <v>7628030</v>
      </c>
      <c r="B472" s="106" t="inlineStr">
        <is>
          <t>WRAP MULTI BREAKFAST</t>
        </is>
      </c>
      <c r="C472">
        <f>IF('Change Request Form'!$N$34="",0,COUNTIF(B472,"*"&amp;'Change Request Form'!$N$34&amp;"*"))</f>
        <v/>
      </c>
    </row>
    <row r="473">
      <c r="A473" s="102" t="n">
        <v>4493048</v>
      </c>
      <c r="B473" s="106" t="inlineStr">
        <is>
          <t>WRAP MULTI MCWRAP</t>
        </is>
      </c>
      <c r="C473">
        <f>IF('Change Request Form'!$N$34="",0,COUNTIF(B473,"*"&amp;'Change Request Form'!$N$34&amp;"*"))</f>
        <v/>
      </c>
      <c r="D473" s="91" t="n">
        <v>1</v>
      </c>
    </row>
    <row r="474">
      <c r="A474" s="102" t="n">
        <v>4493045</v>
      </c>
      <c r="B474" s="106" t="inlineStr">
        <is>
          <t>WRAP MULTI MCWRAP</t>
        </is>
      </c>
      <c r="C474">
        <f>IF('Change Request Form'!$N$34="",0,COUNTIF(B474,"*"&amp;'Change Request Form'!$N$34&amp;"*"))</f>
        <v/>
      </c>
      <c r="D474" s="91" t="n">
        <v>1</v>
      </c>
    </row>
    <row r="475">
      <c r="A475" s="102" t="n">
        <v>791081</v>
      </c>
      <c r="B475" s="106" t="inlineStr">
        <is>
          <t>YOG YOPLAIT STRAWBERRY</t>
        </is>
      </c>
      <c r="C475">
        <f>IF('Change Request Form'!$N$34="",0,COUNTIF(B475,"*"&amp;'Change Request Form'!$N$34&amp;"*"))</f>
        <v/>
      </c>
    </row>
    <row r="476">
      <c r="C476">
        <f>IF('Change Request Form'!$N$34="",0,COUNTIF(B476,"*"&amp;'Change Request Form'!$N$34&amp;"*"))</f>
        <v/>
      </c>
    </row>
    <row r="477">
      <c r="C477">
        <f>IF('Change Request Form'!$N$34="",0,COUNTIF(B477,"*"&amp;'Change Request Form'!$N$34&amp;"*"))</f>
        <v/>
      </c>
    </row>
    <row r="478">
      <c r="C478">
        <f>IF('Change Request Form'!$N$34="",0,COUNTIF(B478,"*"&amp;'Change Request Form'!$N$34&amp;"*"))</f>
        <v/>
      </c>
    </row>
    <row r="479">
      <c r="C479">
        <f>IF('Change Request Form'!$N$34="",0,COUNTIF(B479,"*"&amp;'Change Request Form'!$N$34&amp;"*"))</f>
        <v/>
      </c>
    </row>
    <row r="480">
      <c r="C480">
        <f>IF('Change Request Form'!$N$34="",0,COUNTIF(B480,"*"&amp;'Change Request Form'!$N$34&amp;"*"))</f>
        <v/>
      </c>
    </row>
    <row r="481">
      <c r="C481">
        <f>IF('Change Request Form'!$N$34="",0,COUNTIF(B481,"*"&amp;'Change Request Form'!$N$34&amp;"*"))</f>
        <v/>
      </c>
    </row>
    <row r="482">
      <c r="C482">
        <f>IF('Change Request Form'!$N$34="",0,COUNTIF(B482,"*"&amp;'Change Request Form'!$N$34&amp;"*"))</f>
        <v/>
      </c>
    </row>
    <row r="483">
      <c r="C483">
        <f>IF('Change Request Form'!$N$34="",0,COUNTIF(B483,"*"&amp;'Change Request Form'!$N$34&amp;"*"))</f>
        <v/>
      </c>
    </row>
    <row r="484">
      <c r="C484">
        <f>IF('Change Request Form'!$N$34="",0,COUNTIF(B484,"*"&amp;'Change Request Form'!$N$34&amp;"*"))</f>
        <v/>
      </c>
    </row>
    <row r="485">
      <c r="C485">
        <f>IF('Change Request Form'!$N$34="",0,COUNTIF(B485,"*"&amp;'Change Request Form'!$N$34&amp;"*"))</f>
        <v/>
      </c>
    </row>
    <row r="486">
      <c r="C486">
        <f>IF('Change Request Form'!$N$34="",0,COUNTIF(B486,"*"&amp;'Change Request Form'!$N$34&amp;"*"))</f>
        <v/>
      </c>
    </row>
    <row r="487">
      <c r="C487">
        <f>IF('Change Request Form'!$N$34="",0,COUNTIF(B487,"*"&amp;'Change Request Form'!$N$34&amp;"*"))</f>
        <v/>
      </c>
    </row>
    <row r="488">
      <c r="C488">
        <f>IF('Change Request Form'!$N$34="",0,COUNTIF(B488,"*"&amp;'Change Request Form'!$N$34&amp;"*"))</f>
        <v/>
      </c>
    </row>
    <row r="489">
      <c r="C489">
        <f>IF('Change Request Form'!$N$34="",0,COUNTIF(B489,"*"&amp;'Change Request Form'!$N$34&amp;"*"))</f>
        <v/>
      </c>
    </row>
    <row r="490">
      <c r="C490">
        <f>IF('Change Request Form'!$N$34="",0,COUNTIF(B490,"*"&amp;'Change Request Form'!$N$34&amp;"*"))</f>
        <v/>
      </c>
    </row>
    <row r="491">
      <c r="C491">
        <f>IF('Change Request Form'!$N$34="",0,COUNTIF(B491,"*"&amp;'Change Request Form'!$N$34&amp;"*"))</f>
        <v/>
      </c>
    </row>
    <row r="492">
      <c r="C492">
        <f>IF('Change Request Form'!$N$34="",0,COUNTIF(B492,"*"&amp;'Change Request Form'!$N$34&amp;"*"))</f>
        <v/>
      </c>
    </row>
    <row r="493">
      <c r="C493">
        <f>IF('Change Request Form'!$N$34="",0,COUNTIF(B493,"*"&amp;'Change Request Form'!$N$34&amp;"*"))</f>
        <v/>
      </c>
    </row>
    <row r="494">
      <c r="C494">
        <f>IF('Change Request Form'!$N$34="",0,COUNTIF(B494,"*"&amp;'Change Request Form'!$N$34&amp;"*"))</f>
        <v/>
      </c>
    </row>
    <row r="495">
      <c r="C495">
        <f>IF('Change Request Form'!$N$34="",0,COUNTIF(B495,"*"&amp;'Change Request Form'!$N$34&amp;"*"))</f>
        <v/>
      </c>
    </row>
    <row r="496">
      <c r="C496">
        <f>IF('Change Request Form'!$N$34="",0,COUNTIF(B496,"*"&amp;'Change Request Form'!$N$34&amp;"*"))</f>
        <v/>
      </c>
    </row>
    <row r="497">
      <c r="C497">
        <f>IF('Change Request Form'!$N$34="",0,COUNTIF(B497,"*"&amp;'Change Request Form'!$N$34&amp;"*"))</f>
        <v/>
      </c>
    </row>
    <row r="498">
      <c r="C498">
        <f>IF('Change Request Form'!$N$34="",0,COUNTIF(B498,"*"&amp;'Change Request Form'!$N$34&amp;"*"))</f>
        <v/>
      </c>
    </row>
    <row r="499">
      <c r="C499">
        <f>IF('Change Request Form'!$N$34="",0,COUNTIF(B499,"*"&amp;'Change Request Form'!$N$34&amp;"*"))</f>
        <v/>
      </c>
    </row>
    <row r="500">
      <c r="C500">
        <f>IF('Change Request Form'!$N$34="",0,COUNTIF(B500,"*"&amp;'Change Request Form'!$N$34&amp;"*"))</f>
        <v/>
      </c>
    </row>
    <row r="501">
      <c r="C501">
        <f>IF('Change Request Form'!$N$34="",0,COUNTIF(B501,"*"&amp;'Change Request Form'!$N$34&amp;"*"))</f>
        <v/>
      </c>
    </row>
    <row r="502">
      <c r="C502">
        <f>IF('Change Request Form'!$N$34="",0,COUNTIF(B502,"*"&amp;'Change Request Form'!$N$34&amp;"*"))</f>
        <v/>
      </c>
    </row>
    <row r="503">
      <c r="C503">
        <f>IF('Change Request Form'!$N$34="",0,COUNTIF(B503,"*"&amp;'Change Request Form'!$N$34&amp;"*"))</f>
        <v/>
      </c>
    </row>
    <row r="504">
      <c r="C504">
        <f>IF('Change Request Form'!$N$34="",0,COUNTIF(B504,"*"&amp;'Change Request Form'!$N$34&amp;"*"))</f>
        <v/>
      </c>
    </row>
    <row r="505">
      <c r="C505">
        <f>IF('Change Request Form'!$N$34="",0,COUNTIF(B505,"*"&amp;'Change Request Form'!$N$34&amp;"*"))</f>
        <v/>
      </c>
    </row>
    <row r="506">
      <c r="C506">
        <f>IF('Change Request Form'!$N$34="",0,COUNTIF(B506,"*"&amp;'Change Request Form'!$N$34&amp;"*"))</f>
        <v/>
      </c>
    </row>
    <row r="507">
      <c r="C507">
        <f>IF('Change Request Form'!$N$34="",0,COUNTIF(B507,"*"&amp;'Change Request Form'!$N$34&amp;"*"))</f>
        <v/>
      </c>
    </row>
    <row r="508">
      <c r="C508">
        <f>IF('Change Request Form'!$N$34="",0,COUNTIF(B508,"*"&amp;'Change Request Form'!$N$34&amp;"*"))</f>
        <v/>
      </c>
    </row>
    <row r="509">
      <c r="C509">
        <f>IF('Change Request Form'!$N$34="",0,COUNTIF(B509,"*"&amp;'Change Request Form'!$N$34&amp;"*"))</f>
        <v/>
      </c>
    </row>
    <row r="510">
      <c r="C510">
        <f>IF('Change Request Form'!$N$34="",0,COUNTIF(B510,"*"&amp;'Change Request Form'!$N$34&amp;"*"))</f>
        <v/>
      </c>
    </row>
    <row r="511">
      <c r="C511">
        <f>IF('Change Request Form'!$N$34="",0,COUNTIF(B511,"*"&amp;'Change Request Form'!$N$34&amp;"*"))</f>
        <v/>
      </c>
    </row>
    <row r="512">
      <c r="C512">
        <f>IF('Change Request Form'!$N$34="",0,COUNTIF(B512,"*"&amp;'Change Request Form'!$N$34&amp;"*"))</f>
        <v/>
      </c>
    </row>
    <row r="513">
      <c r="C513">
        <f>IF('Change Request Form'!$N$34="",0,COUNTIF(B513,"*"&amp;'Change Request Form'!$N$34&amp;"*"))</f>
        <v/>
      </c>
    </row>
    <row r="514">
      <c r="C514">
        <f>IF('Change Request Form'!$N$34="",0,COUNTIF(B514,"*"&amp;'Change Request Form'!$N$34&amp;"*"))</f>
        <v/>
      </c>
    </row>
    <row r="515">
      <c r="C515">
        <f>IF('Change Request Form'!$N$34="",0,COUNTIF(B515,"*"&amp;'Change Request Form'!$N$34&amp;"*"))</f>
        <v/>
      </c>
    </row>
    <row r="516">
      <c r="C516">
        <f>IF('Change Request Form'!$N$34="",0,COUNTIF(B516,"*"&amp;'Change Request Form'!$N$34&amp;"*"))</f>
        <v/>
      </c>
    </row>
    <row r="517">
      <c r="C517">
        <f>IF('Change Request Form'!$N$34="",0,COUNTIF(B517,"*"&amp;'Change Request Form'!$N$34&amp;"*"))</f>
        <v/>
      </c>
    </row>
    <row r="518">
      <c r="C518">
        <f>IF('Change Request Form'!$N$34="",0,COUNTIF(B518,"*"&amp;'Change Request Form'!$N$34&amp;"*"))</f>
        <v/>
      </c>
    </row>
    <row r="519">
      <c r="C519">
        <f>IF('Change Request Form'!$N$34="",0,COUNTIF(B519,"*"&amp;'Change Request Form'!$N$34&amp;"*"))</f>
        <v/>
      </c>
    </row>
    <row r="520">
      <c r="C520">
        <f>IF('Change Request Form'!$N$34="",0,COUNTIF(B520,"*"&amp;'Change Request Form'!$N$34&amp;"*"))</f>
        <v/>
      </c>
    </row>
    <row r="521">
      <c r="C521">
        <f>IF('Change Request Form'!$N$34="",0,COUNTIF(B521,"*"&amp;'Change Request Form'!$N$34&amp;"*"))</f>
        <v/>
      </c>
    </row>
    <row r="522">
      <c r="C522">
        <f>IF('Change Request Form'!$N$34="",0,COUNTIF(B522,"*"&amp;'Change Request Form'!$N$34&amp;"*"))</f>
        <v/>
      </c>
    </row>
    <row r="523">
      <c r="C523">
        <f>IF('Change Request Form'!$N$34="",0,COUNTIF(B523,"*"&amp;'Change Request Form'!$N$34&amp;"*"))</f>
        <v/>
      </c>
    </row>
    <row r="524">
      <c r="C524">
        <f>IF('Change Request Form'!$N$34="",0,COUNTIF(B524,"*"&amp;'Change Request Form'!$N$34&amp;"*"))</f>
        <v/>
      </c>
    </row>
    <row r="525">
      <c r="C525">
        <f>IF('Change Request Form'!$N$34="",0,COUNTIF(B525,"*"&amp;'Change Request Form'!$N$34&amp;"*"))</f>
        <v/>
      </c>
    </row>
    <row r="526">
      <c r="C526">
        <f>IF('Change Request Form'!$N$34="",0,COUNTIF(B526,"*"&amp;'Change Request Form'!$N$34&amp;"*"))</f>
        <v/>
      </c>
    </row>
    <row r="527">
      <c r="C527">
        <f>IF('Change Request Form'!$N$34="",0,COUNTIF(B527,"*"&amp;'Change Request Form'!$N$34&amp;"*"))</f>
        <v/>
      </c>
    </row>
    <row r="528">
      <c r="C528">
        <f>IF('Change Request Form'!$N$34="",0,COUNTIF(B528,"*"&amp;'Change Request Form'!$N$34&amp;"*"))</f>
        <v/>
      </c>
    </row>
    <row r="529">
      <c r="C529">
        <f>IF('Change Request Form'!$N$34="",0,COUNTIF(B529,"*"&amp;'Change Request Form'!$N$34&amp;"*"))</f>
        <v/>
      </c>
    </row>
    <row r="530">
      <c r="C530">
        <f>IF('Change Request Form'!$N$34="",0,COUNTIF(B530,"*"&amp;'Change Request Form'!$N$34&amp;"*"))</f>
        <v/>
      </c>
    </row>
    <row r="531">
      <c r="C531">
        <f>IF('Change Request Form'!$N$34="",0,COUNTIF(B531,"*"&amp;'Change Request Form'!$N$34&amp;"*"))</f>
        <v/>
      </c>
    </row>
    <row r="532">
      <c r="C532">
        <f>IF('Change Request Form'!$N$34="",0,COUNTIF(B532,"*"&amp;'Change Request Form'!$N$34&amp;"*"))</f>
        <v/>
      </c>
    </row>
    <row r="533">
      <c r="C533">
        <f>IF('Change Request Form'!$N$34="",0,COUNTIF(B533,"*"&amp;'Change Request Form'!$N$34&amp;"*"))</f>
        <v/>
      </c>
    </row>
    <row r="534">
      <c r="C534">
        <f>IF('Change Request Form'!$N$34="",0,COUNTIF(B534,"*"&amp;'Change Request Form'!$N$34&amp;"*"))</f>
        <v/>
      </c>
    </row>
    <row r="535">
      <c r="C535">
        <f>IF('Change Request Form'!$N$34="",0,COUNTIF(B535,"*"&amp;'Change Request Form'!$N$34&amp;"*"))</f>
        <v/>
      </c>
    </row>
    <row r="536">
      <c r="C536">
        <f>IF('Change Request Form'!$N$34="",0,COUNTIF(B536,"*"&amp;'Change Request Form'!$N$34&amp;"*"))</f>
        <v/>
      </c>
    </row>
    <row r="537">
      <c r="C537">
        <f>IF('Change Request Form'!$N$34="",0,COUNTIF(B537,"*"&amp;'Change Request Form'!$N$34&amp;"*"))</f>
        <v/>
      </c>
    </row>
    <row r="538">
      <c r="C538">
        <f>IF('Change Request Form'!$N$34="",0,COUNTIF(B538,"*"&amp;'Change Request Form'!$N$34&amp;"*"))</f>
        <v/>
      </c>
    </row>
    <row r="539">
      <c r="C539">
        <f>IF('Change Request Form'!$N$34="",0,COUNTIF(B539,"*"&amp;'Change Request Form'!$N$34&amp;"*"))</f>
        <v/>
      </c>
    </row>
    <row r="540">
      <c r="C540">
        <f>IF('Change Request Form'!$N$34="",0,COUNTIF(B540,"*"&amp;'Change Request Form'!$N$34&amp;"*"))</f>
        <v/>
      </c>
    </row>
    <row r="541">
      <c r="C541">
        <f>IF('Change Request Form'!$N$34="",0,COUNTIF(B541,"*"&amp;'Change Request Form'!$N$34&amp;"*"))</f>
        <v/>
      </c>
    </row>
    <row r="542">
      <c r="C542">
        <f>IF('Change Request Form'!$N$34="",0,COUNTIF(B542,"*"&amp;'Change Request Form'!$N$34&amp;"*"))</f>
        <v/>
      </c>
    </row>
    <row r="543">
      <c r="C543">
        <f>IF('Change Request Form'!$N$34="",0,COUNTIF(B543,"*"&amp;'Change Request Form'!$N$34&amp;"*"))</f>
        <v/>
      </c>
    </row>
    <row r="544">
      <c r="C544">
        <f>IF('Change Request Form'!$N$34="",0,COUNTIF(B544,"*"&amp;'Change Request Form'!$N$34&amp;"*"))</f>
        <v/>
      </c>
    </row>
    <row r="545">
      <c r="C545">
        <f>IF('Change Request Form'!$N$34="",0,COUNTIF(B545,"*"&amp;'Change Request Form'!$N$34&amp;"*"))</f>
        <v/>
      </c>
    </row>
    <row r="546">
      <c r="C546">
        <f>IF('Change Request Form'!$N$34="",0,COUNTIF(B546,"*"&amp;'Change Request Form'!$N$34&amp;"*"))</f>
        <v/>
      </c>
    </row>
    <row r="547">
      <c r="C547">
        <f>IF('Change Request Form'!$N$34="",0,COUNTIF(B547,"*"&amp;'Change Request Form'!$N$34&amp;"*"))</f>
        <v/>
      </c>
    </row>
    <row r="548">
      <c r="C548">
        <f>IF('Change Request Form'!$N$34="",0,COUNTIF(B548,"*"&amp;'Change Request Form'!$N$34&amp;"*"))</f>
        <v/>
      </c>
    </row>
    <row r="549">
      <c r="C549">
        <f>IF('Change Request Form'!$N$34="",0,COUNTIF(B549,"*"&amp;'Change Request Form'!$N$34&amp;"*"))</f>
        <v/>
      </c>
    </row>
    <row r="550">
      <c r="C550">
        <f>IF('Change Request Form'!$N$34="",0,COUNTIF(B550,"*"&amp;'Change Request Form'!$N$34&amp;"*"))</f>
        <v/>
      </c>
    </row>
    <row r="551">
      <c r="C551">
        <f>IF('Change Request Form'!$N$34="",0,COUNTIF(B551,"*"&amp;'Change Request Form'!$N$34&amp;"*"))</f>
        <v/>
      </c>
    </row>
    <row r="552">
      <c r="C552">
        <f>IF('Change Request Form'!$N$34="",0,COUNTIF(B552,"*"&amp;'Change Request Form'!$N$34&amp;"*"))</f>
        <v/>
      </c>
    </row>
    <row r="553">
      <c r="C553">
        <f>IF('Change Request Form'!$N$34="",0,COUNTIF(B553,"*"&amp;'Change Request Form'!$N$34&amp;"*"))</f>
        <v/>
      </c>
    </row>
    <row r="554">
      <c r="C554">
        <f>IF('Change Request Form'!$N$34="",0,COUNTIF(B554,"*"&amp;'Change Request Form'!$N$34&amp;"*"))</f>
        <v/>
      </c>
    </row>
    <row r="555">
      <c r="C555">
        <f>IF('Change Request Form'!$N$34="",0,COUNTIF(B555,"*"&amp;'Change Request Form'!$N$34&amp;"*"))</f>
        <v/>
      </c>
    </row>
    <row r="556">
      <c r="C556">
        <f>IF('Change Request Form'!$N$34="",0,COUNTIF(B556,"*"&amp;'Change Request Form'!$N$34&amp;"*"))</f>
        <v/>
      </c>
    </row>
    <row r="557">
      <c r="C557">
        <f>IF('Change Request Form'!$N$34="",0,COUNTIF(B557,"*"&amp;'Change Request Form'!$N$34&amp;"*"))</f>
        <v/>
      </c>
    </row>
    <row r="558">
      <c r="C558">
        <f>IF('Change Request Form'!$N$34="",0,COUNTIF(B558,"*"&amp;'Change Request Form'!$N$34&amp;"*"))</f>
        <v/>
      </c>
    </row>
    <row r="559">
      <c r="C559">
        <f>IF('Change Request Form'!$N$34="",0,COUNTIF(B559,"*"&amp;'Change Request Form'!$N$34&amp;"*"))</f>
        <v/>
      </c>
    </row>
    <row r="560">
      <c r="C560">
        <f>IF('Change Request Form'!$N$34="",0,COUNTIF(B560,"*"&amp;'Change Request Form'!$N$34&amp;"*"))</f>
        <v/>
      </c>
    </row>
    <row r="561">
      <c r="C561">
        <f>IF('Change Request Form'!$N$34="",0,COUNTIF(B561,"*"&amp;'Change Request Form'!$N$34&amp;"*"))</f>
        <v/>
      </c>
    </row>
    <row r="562">
      <c r="C562">
        <f>IF('Change Request Form'!$N$34="",0,COUNTIF(B562,"*"&amp;'Change Request Form'!$N$34&amp;"*"))</f>
        <v/>
      </c>
    </row>
    <row r="563">
      <c r="C563">
        <f>IF('Change Request Form'!$N$34="",0,COUNTIF(B563,"*"&amp;'Change Request Form'!$N$34&amp;"*"))</f>
        <v/>
      </c>
    </row>
    <row r="564">
      <c r="C564">
        <f>IF('Change Request Form'!$N$34="",0,COUNTIF(B564,"*"&amp;'Change Request Form'!$N$34&amp;"*"))</f>
        <v/>
      </c>
    </row>
    <row r="565">
      <c r="C565">
        <f>IF('Change Request Form'!$N$34="",0,COUNTIF(B565,"*"&amp;'Change Request Form'!$N$34&amp;"*"))</f>
        <v/>
      </c>
    </row>
    <row r="566">
      <c r="C566">
        <f>IF('Change Request Form'!$N$34="",0,COUNTIF(B566,"*"&amp;'Change Request Form'!$N$34&amp;"*"))</f>
        <v/>
      </c>
    </row>
    <row r="567">
      <c r="C567">
        <f>IF('Change Request Form'!$N$34="",0,COUNTIF(B567,"*"&amp;'Change Request Form'!$N$34&amp;"*"))</f>
        <v/>
      </c>
    </row>
    <row r="568">
      <c r="C568">
        <f>IF('Change Request Form'!$N$34="",0,COUNTIF(B568,"*"&amp;'Change Request Form'!$N$34&amp;"*"))</f>
        <v/>
      </c>
    </row>
    <row r="569">
      <c r="C569">
        <f>IF('Change Request Form'!$N$34="",0,COUNTIF(B569,"*"&amp;'Change Request Form'!$N$34&amp;"*"))</f>
        <v/>
      </c>
    </row>
    <row r="570">
      <c r="C570">
        <f>IF('Change Request Form'!$N$34="",0,COUNTIF(B570,"*"&amp;'Change Request Form'!$N$34&amp;"*"))</f>
        <v/>
      </c>
    </row>
    <row r="571">
      <c r="C571">
        <f>IF('Change Request Form'!$N$34="",0,COUNTIF(B571,"*"&amp;'Change Request Form'!$N$34&amp;"*"))</f>
        <v/>
      </c>
    </row>
    <row r="572">
      <c r="C572">
        <f>IF('Change Request Form'!$N$34="",0,COUNTIF(B572,"*"&amp;'Change Request Form'!$N$34&amp;"*"))</f>
        <v/>
      </c>
    </row>
    <row r="573">
      <c r="C573">
        <f>IF('Change Request Form'!$N$34="",0,COUNTIF(B573,"*"&amp;'Change Request Form'!$N$34&amp;"*"))</f>
        <v/>
      </c>
    </row>
    <row r="574">
      <c r="C574">
        <f>IF('Change Request Form'!$N$34="",0,COUNTIF(B574,"*"&amp;'Change Request Form'!$N$34&amp;"*"))</f>
        <v/>
      </c>
    </row>
    <row r="575">
      <c r="C575">
        <f>IF('Change Request Form'!$N$34="",0,COUNTIF(B575,"*"&amp;'Change Request Form'!$N$34&amp;"*"))</f>
        <v/>
      </c>
    </row>
    <row r="576">
      <c r="C576">
        <f>IF('Change Request Form'!$N$34="",0,COUNTIF(B576,"*"&amp;'Change Request Form'!$N$34&amp;"*"))</f>
        <v/>
      </c>
    </row>
    <row r="577">
      <c r="C577">
        <f>IF('Change Request Form'!$N$34="",0,COUNTIF(B577,"*"&amp;'Change Request Form'!$N$34&amp;"*"))</f>
        <v/>
      </c>
    </row>
    <row r="578">
      <c r="C578">
        <f>IF('Change Request Form'!$N$34="",0,COUNTIF(B578,"*"&amp;'Change Request Form'!$N$34&amp;"*"))</f>
        <v/>
      </c>
    </row>
    <row r="579">
      <c r="C579">
        <f>IF('Change Request Form'!$N$34="",0,COUNTIF(B579,"*"&amp;'Change Request Form'!$N$34&amp;"*"))</f>
        <v/>
      </c>
    </row>
    <row r="580">
      <c r="C580">
        <f>IF('Change Request Form'!$N$34="",0,COUNTIF(B580,"*"&amp;'Change Request Form'!$N$34&amp;"*"))</f>
        <v/>
      </c>
    </row>
    <row r="581">
      <c r="C581">
        <f>IF('Change Request Form'!$N$34="",0,COUNTIF(B581,"*"&amp;'Change Request Form'!$N$34&amp;"*"))</f>
        <v/>
      </c>
    </row>
    <row r="582">
      <c r="C582">
        <f>IF('Change Request Form'!$N$34="",0,COUNTIF(B582,"*"&amp;'Change Request Form'!$N$34&amp;"*"))</f>
        <v/>
      </c>
    </row>
    <row r="583">
      <c r="C583">
        <f>IF('Change Request Form'!$N$34="",0,COUNTIF(B583,"*"&amp;'Change Request Form'!$N$34&amp;"*"))</f>
        <v/>
      </c>
    </row>
    <row r="584">
      <c r="C584">
        <f>IF('Change Request Form'!$N$34="",0,COUNTIF(B584,"*"&amp;'Change Request Form'!$N$34&amp;"*"))</f>
        <v/>
      </c>
    </row>
    <row r="585">
      <c r="C585">
        <f>IF('Change Request Form'!$N$34="",0,COUNTIF(B585,"*"&amp;'Change Request Form'!$N$34&amp;"*"))</f>
        <v/>
      </c>
    </row>
    <row r="586">
      <c r="C586">
        <f>IF('Change Request Form'!$N$34="",0,COUNTIF(B586,"*"&amp;'Change Request Form'!$N$34&amp;"*"))</f>
        <v/>
      </c>
    </row>
    <row r="587">
      <c r="C587">
        <f>IF('Change Request Form'!$N$34="",0,COUNTIF(B587,"*"&amp;'Change Request Form'!$N$34&amp;"*"))</f>
        <v/>
      </c>
    </row>
    <row r="588">
      <c r="C588">
        <f>IF('Change Request Form'!$N$34="",0,COUNTIF(B588,"*"&amp;'Change Request Form'!$N$34&amp;"*"))</f>
        <v/>
      </c>
    </row>
    <row r="589">
      <c r="C589">
        <f>IF('Change Request Form'!$N$34="",0,COUNTIF(B589,"*"&amp;'Change Request Form'!$N$34&amp;"*"))</f>
        <v/>
      </c>
    </row>
    <row r="590">
      <c r="C590">
        <f>IF('Change Request Form'!$N$34="",0,COUNTIF(B590,"*"&amp;'Change Request Form'!$N$34&amp;"*"))</f>
        <v/>
      </c>
    </row>
    <row r="591">
      <c r="C591">
        <f>IF('Change Request Form'!$N$34="",0,COUNTIF(B591,"*"&amp;'Change Request Form'!$N$34&amp;"*"))</f>
        <v/>
      </c>
    </row>
    <row r="592">
      <c r="C592">
        <f>IF('Change Request Form'!$N$34="",0,COUNTIF(B592,"*"&amp;'Change Request Form'!$N$34&amp;"*"))</f>
        <v/>
      </c>
    </row>
    <row r="593">
      <c r="C593">
        <f>IF('Change Request Form'!$N$34="",0,COUNTIF(B593,"*"&amp;'Change Request Form'!$N$34&amp;"*"))</f>
        <v/>
      </c>
    </row>
    <row r="594">
      <c r="C594">
        <f>IF('Change Request Form'!$N$34="",0,COUNTIF(B594,"*"&amp;'Change Request Form'!$N$34&amp;"*"))</f>
        <v/>
      </c>
    </row>
    <row r="595">
      <c r="C595">
        <f>IF('Change Request Form'!$N$34="",0,COUNTIF(B595,"*"&amp;'Change Request Form'!$N$34&amp;"*"))</f>
        <v/>
      </c>
    </row>
    <row r="596">
      <c r="C596">
        <f>IF('Change Request Form'!$N$34="",0,COUNTIF(B596,"*"&amp;'Change Request Form'!$N$34&amp;"*"))</f>
        <v/>
      </c>
    </row>
    <row r="597">
      <c r="C597">
        <f>IF('Change Request Form'!$N$34="",0,COUNTIF(B597,"*"&amp;'Change Request Form'!$N$34&amp;"*"))</f>
        <v/>
      </c>
    </row>
    <row r="598">
      <c r="C598">
        <f>IF('Change Request Form'!$N$34="",0,COUNTIF(B598,"*"&amp;'Change Request Form'!$N$34&amp;"*"))</f>
        <v/>
      </c>
    </row>
    <row r="599">
      <c r="C599">
        <f>IF('Change Request Form'!$N$34="",0,COUNTIF(B599,"*"&amp;'Change Request Form'!$N$34&amp;"*"))</f>
        <v/>
      </c>
    </row>
    <row r="600">
      <c r="C600">
        <f>IF('Change Request Form'!$N$34="",0,COUNTIF(B600,"*"&amp;'Change Request Form'!$N$34&amp;"*"))</f>
        <v/>
      </c>
    </row>
    <row r="601">
      <c r="C601">
        <f>IF('Change Request Form'!$N$34="",0,COUNTIF(B601,"*"&amp;'Change Request Form'!$N$34&amp;"*"))</f>
        <v/>
      </c>
    </row>
    <row r="602">
      <c r="C602">
        <f>IF('Change Request Form'!$N$34="",0,COUNTIF(B602,"*"&amp;'Change Request Form'!$N$34&amp;"*"))</f>
        <v/>
      </c>
    </row>
    <row r="603">
      <c r="C603">
        <f>IF('Change Request Form'!$N$34="",0,COUNTIF(B603,"*"&amp;'Change Request Form'!$N$34&amp;"*"))</f>
        <v/>
      </c>
    </row>
    <row r="604">
      <c r="C604">
        <f>IF('Change Request Form'!$N$34="",0,COUNTIF(B604,"*"&amp;'Change Request Form'!$N$34&amp;"*"))</f>
        <v/>
      </c>
    </row>
    <row r="605">
      <c r="A605" s="110" t="n"/>
      <c r="B605" s="103" t="n"/>
      <c r="C605">
        <f>IF('Change Request Form'!$N$34="",0,COUNTIF(B605,"*"&amp;'Change Request Form'!$N$34&amp;"*"))</f>
        <v/>
      </c>
    </row>
    <row r="606">
      <c r="C606">
        <f>IF('Change Request Form'!$N$34="",0,COUNTIF(B606,"*"&amp;'Change Request Form'!$N$34&amp;"*"))</f>
        <v/>
      </c>
    </row>
    <row r="607">
      <c r="A607" s="111" t="n"/>
      <c r="C607">
        <f>IF('Change Request Form'!$N$34="",0,COUNTIF(B607,"*"&amp;'Change Request Form'!$N$34&amp;"*"))</f>
        <v/>
      </c>
    </row>
    <row r="608">
      <c r="A608" s="111" t="n"/>
      <c r="C608">
        <f>IF('Change Request Form'!$N$34="",0,COUNTIF(B608,"*"&amp;'Change Request Form'!$N$34&amp;"*"))</f>
        <v/>
      </c>
    </row>
    <row r="609">
      <c r="A609" s="111" t="n"/>
      <c r="C609">
        <f>IF('Change Request Form'!$N$34="",0,COUNTIF(B609,"*"&amp;'Change Request Form'!$N$34&amp;"*"))</f>
        <v/>
      </c>
    </row>
    <row r="610">
      <c r="A610" s="111" t="n"/>
      <c r="C610">
        <f>IF('Change Request Form'!$N$34="",0,COUNTIF(B610,"*"&amp;'Change Request Form'!$N$34&amp;"*"))</f>
        <v/>
      </c>
    </row>
    <row r="611">
      <c r="A611" s="111" t="n"/>
      <c r="C611">
        <f>IF('Change Request Form'!$N$34="",0,COUNTIF(B611,"*"&amp;'Change Request Form'!$N$34&amp;"*"))</f>
        <v/>
      </c>
    </row>
    <row r="612">
      <c r="C612">
        <f>IF('Change Request Form'!$N$34="",0,COUNTIF(B612,"*"&amp;'Change Request Form'!$N$34&amp;"*"))</f>
        <v/>
      </c>
    </row>
    <row r="613">
      <c r="C613">
        <f>IF('Change Request Form'!$N$34="",0,COUNTIF(B613,"*"&amp;'Change Request Form'!$N$34&amp;"*"))</f>
        <v/>
      </c>
    </row>
    <row r="614">
      <c r="C614">
        <f>IF('Change Request Form'!$N$34="",0,COUNTIF(B614,"*"&amp;'Change Request Form'!$N$34&amp;"*"))</f>
        <v/>
      </c>
    </row>
    <row r="615">
      <c r="C615">
        <f>IF('Change Request Form'!$N$34="",0,COUNTIF(B615,"*"&amp;'Change Request Form'!$N$34&amp;"*"))</f>
        <v/>
      </c>
    </row>
    <row r="616">
      <c r="C616">
        <f>IF('Change Request Form'!$N$34="",0,COUNTIF(B616,"*"&amp;'Change Request Form'!$N$34&amp;"*"))</f>
        <v/>
      </c>
    </row>
    <row r="617">
      <c r="C617">
        <f>IF('Change Request Form'!$N$34="",0,COUNTIF(B617,"*"&amp;'Change Request Form'!$N$34&amp;"*"))</f>
        <v/>
      </c>
    </row>
    <row r="618">
      <c r="C618">
        <f>IF('Change Request Form'!$N$34="",0,COUNTIF(B618,"*"&amp;'Change Request Form'!$N$34&amp;"*"))</f>
        <v/>
      </c>
    </row>
    <row r="619">
      <c r="C619">
        <f>IF('Change Request Form'!$N$34="",0,COUNTIF(B619,"*"&amp;'Change Request Form'!$N$34&amp;"*"))</f>
        <v/>
      </c>
    </row>
    <row r="620">
      <c r="C620">
        <f>IF('Change Request Form'!$N$34="",0,COUNTIF(B620,"*"&amp;'Change Request Form'!$N$34&amp;"*"))</f>
        <v/>
      </c>
    </row>
    <row r="621">
      <c r="C621">
        <f>IF('Change Request Form'!$N$34="",0,COUNTIF(B621,"*"&amp;'Change Request Form'!$N$34&amp;"*"))</f>
        <v/>
      </c>
    </row>
    <row r="622">
      <c r="C622">
        <f>IF('Change Request Form'!$N$34="",0,COUNTIF(B622,"*"&amp;'Change Request Form'!$N$34&amp;"*"))</f>
        <v/>
      </c>
    </row>
    <row r="623">
      <c r="C623">
        <f>IF('Change Request Form'!$N$34="",0,COUNTIF(B623,"*"&amp;'Change Request Form'!$N$34&amp;"*"))</f>
        <v/>
      </c>
    </row>
    <row r="624">
      <c r="C624">
        <f>IF('Change Request Form'!$N$34="",0,COUNTIF(B624,"*"&amp;'Change Request Form'!$N$34&amp;"*"))</f>
        <v/>
      </c>
    </row>
    <row r="625">
      <c r="C625">
        <f>IF('Change Request Form'!$N$34="",0,COUNTIF(B625,"*"&amp;'Change Request Form'!$N$34&amp;"*"))</f>
        <v/>
      </c>
    </row>
    <row r="626">
      <c r="C626">
        <f>IF('Change Request Form'!$N$34="",0,COUNTIF(B626,"*"&amp;'Change Request Form'!$N$34&amp;"*"))</f>
        <v/>
      </c>
    </row>
    <row r="627">
      <c r="C627">
        <f>IF('Change Request Form'!$N$34="",0,COUNTIF(B627,"*"&amp;'Change Request Form'!$N$34&amp;"*"))</f>
        <v/>
      </c>
    </row>
    <row r="628">
      <c r="C628">
        <f>IF('Change Request Form'!$N$34="",0,COUNTIF(B628,"*"&amp;'Change Request Form'!$N$34&amp;"*"))</f>
        <v/>
      </c>
    </row>
    <row r="629">
      <c r="C629">
        <f>IF('Change Request Form'!$N$34="",0,COUNTIF(B629,"*"&amp;'Change Request Form'!$N$34&amp;"*"))</f>
        <v/>
      </c>
    </row>
    <row r="630">
      <c r="C630">
        <f>IF('Change Request Form'!$N$34="",0,COUNTIF(B630,"*"&amp;'Change Request Form'!$N$34&amp;"*"))</f>
        <v/>
      </c>
    </row>
    <row r="631">
      <c r="C631">
        <f>IF('Change Request Form'!$N$34="",0,COUNTIF(B631,"*"&amp;'Change Request Form'!$N$34&amp;"*"))</f>
        <v/>
      </c>
    </row>
    <row r="632">
      <c r="C632">
        <f>IF('Change Request Form'!$N$34="",0,COUNTIF(B632,"*"&amp;'Change Request Form'!$N$34&amp;"*"))</f>
        <v/>
      </c>
    </row>
    <row r="633">
      <c r="C633">
        <f>IF('Change Request Form'!$N$34="",0,COUNTIF(B633,"*"&amp;'Change Request Form'!$N$34&amp;"*"))</f>
        <v/>
      </c>
    </row>
    <row r="634">
      <c r="C634">
        <f>IF('Change Request Form'!$N$34="",0,COUNTIF(B634,"*"&amp;'Change Request Form'!$N$34&amp;"*"))</f>
        <v/>
      </c>
    </row>
    <row r="635">
      <c r="C635">
        <f>IF('Change Request Form'!$N$34="",0,COUNTIF(B635,"*"&amp;'Change Request Form'!$N$34&amp;"*"))</f>
        <v/>
      </c>
    </row>
    <row r="636">
      <c r="C636">
        <f>IF('Change Request Form'!$N$34="",0,COUNTIF(B636,"*"&amp;'Change Request Form'!$N$34&amp;"*"))</f>
        <v/>
      </c>
    </row>
    <row r="637">
      <c r="C637">
        <f>IF('Change Request Form'!$N$34="",0,COUNTIF(B637,"*"&amp;'Change Request Form'!$N$34&amp;"*"))</f>
        <v/>
      </c>
    </row>
    <row r="638">
      <c r="C638">
        <f>IF('Change Request Form'!$N$34="",0,COUNTIF(B638,"*"&amp;'Change Request Form'!$N$34&amp;"*"))</f>
        <v/>
      </c>
    </row>
    <row r="639">
      <c r="C639">
        <f>IF('Change Request Form'!$N$34="",0,COUNTIF(B639,"*"&amp;'Change Request Form'!$N$34&amp;"*"))</f>
        <v/>
      </c>
    </row>
    <row r="640">
      <c r="C640">
        <f>IF('Change Request Form'!$N$34="",0,COUNTIF(B640,"*"&amp;'Change Request Form'!$N$34&amp;"*"))</f>
        <v/>
      </c>
    </row>
    <row r="641">
      <c r="C641">
        <f>IF('Change Request Form'!$N$34="",0,COUNTIF(B641,"*"&amp;'Change Request Form'!$N$34&amp;"*"))</f>
        <v/>
      </c>
    </row>
    <row r="642">
      <c r="C642">
        <f>IF('Change Request Form'!$N$34="",0,COUNTIF(B642,"*"&amp;'Change Request Form'!$N$34&amp;"*"))</f>
        <v/>
      </c>
    </row>
    <row r="643">
      <c r="C643">
        <f>IF('Change Request Form'!$N$34="",0,COUNTIF(B643,"*"&amp;'Change Request Form'!$N$34&amp;"*"))</f>
        <v/>
      </c>
    </row>
    <row r="644">
      <c r="C644">
        <f>IF('Change Request Form'!$N$34="",0,COUNTIF(B644,"*"&amp;'Change Request Form'!$N$34&amp;"*"))</f>
        <v/>
      </c>
    </row>
    <row r="645">
      <c r="C645">
        <f>IF('Change Request Form'!$N$34="",0,COUNTIF(B645,"*"&amp;'Change Request Form'!$N$34&amp;"*"))</f>
        <v/>
      </c>
    </row>
    <row r="646">
      <c r="C646">
        <f>IF('Change Request Form'!$N$34="",0,COUNTIF(B646,"*"&amp;'Change Request Form'!$N$34&amp;"*"))</f>
        <v/>
      </c>
    </row>
    <row r="647">
      <c r="C647">
        <f>IF('Change Request Form'!$N$34="",0,COUNTIF(B647,"*"&amp;'Change Request Form'!$N$34&amp;"*"))</f>
        <v/>
      </c>
    </row>
    <row r="648">
      <c r="C648">
        <f>IF('Change Request Form'!$N$34="",0,COUNTIF(B648,"*"&amp;'Change Request Form'!$N$34&amp;"*"))</f>
        <v/>
      </c>
    </row>
    <row r="649">
      <c r="C649">
        <f>IF('Change Request Form'!$N$34="",0,COUNTIF(B649,"*"&amp;'Change Request Form'!$N$34&amp;"*"))</f>
        <v/>
      </c>
    </row>
    <row r="650">
      <c r="C650">
        <f>IF('Change Request Form'!$N$34="",0,COUNTIF(B650,"*"&amp;'Change Request Form'!$N$34&amp;"*"))</f>
        <v/>
      </c>
    </row>
    <row r="651">
      <c r="C651">
        <f>IF('Change Request Form'!$N$34="",0,COUNTIF(B651,"*"&amp;'Change Request Form'!$N$34&amp;"*"))</f>
        <v/>
      </c>
    </row>
    <row r="652">
      <c r="C652">
        <f>IF('Change Request Form'!$N$34="",0,COUNTIF(B652,"*"&amp;'Change Request Form'!$N$34&amp;"*"))</f>
        <v/>
      </c>
    </row>
    <row r="653">
      <c r="C653">
        <f>IF('Change Request Form'!$N$34="",0,COUNTIF(B653,"*"&amp;'Change Request Form'!$N$34&amp;"*"))</f>
        <v/>
      </c>
    </row>
    <row r="654">
      <c r="C654">
        <f>IF('Change Request Form'!$N$34="",0,COUNTIF(B654,"*"&amp;'Change Request Form'!$N$34&amp;"*"))</f>
        <v/>
      </c>
    </row>
    <row r="655">
      <c r="C655">
        <f>IF('Change Request Form'!$N$34="",0,COUNTIF(B655,"*"&amp;'Change Request Form'!$N$34&amp;"*"))</f>
        <v/>
      </c>
    </row>
    <row r="656">
      <c r="C656">
        <f>IF('Change Request Form'!$N$34="",0,COUNTIF(B656,"*"&amp;'Change Request Form'!$N$34&amp;"*"))</f>
        <v/>
      </c>
    </row>
    <row r="657">
      <c r="C657">
        <f>IF('Change Request Form'!$N$34="",0,COUNTIF(B657,"*"&amp;'Change Request Form'!$N$34&amp;"*"))</f>
        <v/>
      </c>
    </row>
    <row r="658">
      <c r="C658">
        <f>IF('Change Request Form'!$N$34="",0,COUNTIF(B658,"*"&amp;'Change Request Form'!$N$34&amp;"*"))</f>
        <v/>
      </c>
    </row>
    <row r="659">
      <c r="C659">
        <f>IF('Change Request Form'!$N$34="",0,COUNTIF(B659,"*"&amp;'Change Request Form'!$N$34&amp;"*"))</f>
        <v/>
      </c>
    </row>
    <row r="660">
      <c r="C660">
        <f>IF('Change Request Form'!$N$34="",0,COUNTIF(B660,"*"&amp;'Change Request Form'!$N$34&amp;"*"))</f>
        <v/>
      </c>
    </row>
    <row r="661">
      <c r="C661">
        <f>IF('Change Request Form'!$N$34="",0,COUNTIF(B661,"*"&amp;'Change Request Form'!$N$34&amp;"*"))</f>
        <v/>
      </c>
    </row>
    <row r="662">
      <c r="C662">
        <f>IF('Change Request Form'!$N$34="",0,COUNTIF(B662,"*"&amp;'Change Request Form'!$N$34&amp;"*"))</f>
        <v/>
      </c>
    </row>
    <row r="663">
      <c r="C663">
        <f>IF('Change Request Form'!$N$34="",0,COUNTIF(B663,"*"&amp;'Change Request Form'!$N$34&amp;"*"))</f>
        <v/>
      </c>
    </row>
    <row r="664">
      <c r="C664">
        <f>IF('Change Request Form'!$N$34="",0,COUNTIF(B664,"*"&amp;'Change Request Form'!$N$34&amp;"*"))</f>
        <v/>
      </c>
    </row>
    <row r="665">
      <c r="C665">
        <f>IF('Change Request Form'!$N$34="",0,COUNTIF(B665,"*"&amp;'Change Request Form'!$N$34&amp;"*"))</f>
        <v/>
      </c>
    </row>
    <row r="666">
      <c r="C666">
        <f>IF('Change Request Form'!$N$34="",0,COUNTIF(B666,"*"&amp;'Change Request Form'!$N$34&amp;"*"))</f>
        <v/>
      </c>
    </row>
    <row r="667">
      <c r="C667">
        <f>IF('Change Request Form'!$N$34="",0,COUNTIF(B667,"*"&amp;'Change Request Form'!$N$34&amp;"*"))</f>
        <v/>
      </c>
    </row>
    <row r="668">
      <c r="C668">
        <f>IF('Change Request Form'!$N$34="",0,COUNTIF(B668,"*"&amp;'Change Request Form'!$N$34&amp;"*"))</f>
        <v/>
      </c>
    </row>
    <row r="669">
      <c r="C669">
        <f>IF('Change Request Form'!$N$34="",0,COUNTIF(B669,"*"&amp;'Change Request Form'!$N$34&amp;"*"))</f>
        <v/>
      </c>
    </row>
    <row r="670">
      <c r="C670">
        <f>IF('Change Request Form'!$N$34="",0,COUNTIF(B670,"*"&amp;'Change Request Form'!$N$34&amp;"*"))</f>
        <v/>
      </c>
    </row>
    <row r="671">
      <c r="C671">
        <f>IF('Change Request Form'!$N$34="",0,COUNTIF(B671,"*"&amp;'Change Request Form'!$N$34&amp;"*"))</f>
        <v/>
      </c>
    </row>
    <row r="672">
      <c r="C672">
        <f>IF('Change Request Form'!$N$34="",0,COUNTIF(B672,"*"&amp;'Change Request Form'!$N$34&amp;"*"))</f>
        <v/>
      </c>
    </row>
    <row r="673">
      <c r="C673">
        <f>IF('Change Request Form'!$N$34="",0,COUNTIF(B673,"*"&amp;'Change Request Form'!$N$34&amp;"*"))</f>
        <v/>
      </c>
    </row>
    <row r="674">
      <c r="C674">
        <f>IF('Change Request Form'!$N$34="",0,COUNTIF(B674,"*"&amp;'Change Request Form'!$N$34&amp;"*"))</f>
        <v/>
      </c>
    </row>
    <row r="675">
      <c r="C675">
        <f>IF('Change Request Form'!$N$34="",0,COUNTIF(B675,"*"&amp;'Change Request Form'!$N$34&amp;"*"))</f>
        <v/>
      </c>
    </row>
    <row r="676">
      <c r="C676">
        <f>IF('Change Request Form'!$N$34="",0,COUNTIF(B676,"*"&amp;'Change Request Form'!$N$34&amp;"*"))</f>
        <v/>
      </c>
    </row>
    <row r="677">
      <c r="C677">
        <f>IF('Change Request Form'!$N$34="",0,COUNTIF(B677,"*"&amp;'Change Request Form'!$N$34&amp;"*"))</f>
        <v/>
      </c>
    </row>
    <row r="678">
      <c r="C678">
        <f>IF('Change Request Form'!$N$34="",0,COUNTIF(B678,"*"&amp;'Change Request Form'!$N$34&amp;"*"))</f>
        <v/>
      </c>
    </row>
    <row r="679">
      <c r="C679">
        <f>IF('Change Request Form'!$N$34="",0,COUNTIF(B679,"*"&amp;'Change Request Form'!$N$34&amp;"*"))</f>
        <v/>
      </c>
    </row>
    <row r="680">
      <c r="C680">
        <f>IF('Change Request Form'!$N$34="",0,COUNTIF(B680,"*"&amp;'Change Request Form'!$N$34&amp;"*"))</f>
        <v/>
      </c>
    </row>
    <row r="681">
      <c r="C681">
        <f>IF('Change Request Form'!$N$34="",0,COUNTIF(B681,"*"&amp;'Change Request Form'!$N$34&amp;"*"))</f>
        <v/>
      </c>
    </row>
    <row r="682">
      <c r="C682">
        <f>IF('Change Request Form'!$N$34="",0,COUNTIF(B682,"*"&amp;'Change Request Form'!$N$34&amp;"*"))</f>
        <v/>
      </c>
    </row>
    <row r="683">
      <c r="C683">
        <f>IF('Change Request Form'!$N$34="",0,COUNTIF(B683,"*"&amp;'Change Request Form'!$N$34&amp;"*"))</f>
        <v/>
      </c>
    </row>
    <row r="684">
      <c r="C684">
        <f>IF('Change Request Form'!$N$34="",0,COUNTIF(B684,"*"&amp;'Change Request Form'!$N$34&amp;"*"))</f>
        <v/>
      </c>
    </row>
    <row r="685">
      <c r="C685">
        <f>IF('Change Request Form'!$N$34="",0,COUNTIF(B685,"*"&amp;'Change Request Form'!$N$34&amp;"*"))</f>
        <v/>
      </c>
    </row>
    <row r="686">
      <c r="C686">
        <f>IF('Change Request Form'!$N$34="",0,COUNTIF(B686,"*"&amp;'Change Request Form'!$N$34&amp;"*"))</f>
        <v/>
      </c>
    </row>
    <row r="687">
      <c r="C687">
        <f>IF('Change Request Form'!$N$34="",0,COUNTIF(B687,"*"&amp;'Change Request Form'!$N$34&amp;"*"))</f>
        <v/>
      </c>
    </row>
    <row r="688">
      <c r="C688">
        <f>IF('Change Request Form'!$N$34="",0,COUNTIF(B688,"*"&amp;'Change Request Form'!$N$34&amp;"*"))</f>
        <v/>
      </c>
    </row>
    <row r="689">
      <c r="C689">
        <f>IF('Change Request Form'!$N$34="",0,COUNTIF(B689,"*"&amp;'Change Request Form'!$N$34&amp;"*"))</f>
        <v/>
      </c>
    </row>
    <row r="690">
      <c r="C690">
        <f>IF('Change Request Form'!$N$34="",0,COUNTIF(B690,"*"&amp;'Change Request Form'!$N$34&amp;"*"))</f>
        <v/>
      </c>
    </row>
    <row r="691">
      <c r="C691">
        <f>IF('Change Request Form'!$N$34="",0,COUNTIF(B691,"*"&amp;'Change Request Form'!$N$34&amp;"*"))</f>
        <v/>
      </c>
    </row>
    <row r="692">
      <c r="C692">
        <f>IF('Change Request Form'!$N$34="",0,COUNTIF(B692,"*"&amp;'Change Request Form'!$N$34&amp;"*"))</f>
        <v/>
      </c>
    </row>
    <row r="693">
      <c r="C693">
        <f>IF('Change Request Form'!$N$34="",0,COUNTIF(B693,"*"&amp;'Change Request Form'!$N$34&amp;"*"))</f>
        <v/>
      </c>
    </row>
    <row r="694">
      <c r="C694">
        <f>IF('Change Request Form'!$N$34="",0,COUNTIF(B694,"*"&amp;'Change Request Form'!$N$34&amp;"*"))</f>
        <v/>
      </c>
    </row>
    <row r="695">
      <c r="C695">
        <f>IF('Change Request Form'!$N$34="",0,COUNTIF(B695,"*"&amp;'Change Request Form'!$N$34&amp;"*"))</f>
        <v/>
      </c>
    </row>
    <row r="696">
      <c r="C696">
        <f>IF('Change Request Form'!$N$34="",0,COUNTIF(B696,"*"&amp;'Change Request Form'!$N$34&amp;"*"))</f>
        <v/>
      </c>
    </row>
    <row r="697">
      <c r="C697">
        <f>IF('Change Request Form'!$N$34="",0,COUNTIF(B697,"*"&amp;'Change Request Form'!$N$34&amp;"*"))</f>
        <v/>
      </c>
    </row>
    <row r="698">
      <c r="C698">
        <f>IF('Change Request Form'!$N$34="",0,COUNTIF(B698,"*"&amp;'Change Request Form'!$N$34&amp;"*"))</f>
        <v/>
      </c>
    </row>
    <row r="699">
      <c r="C699">
        <f>IF('Change Request Form'!$N$34="",0,COUNTIF(B699,"*"&amp;'Change Request Form'!$N$34&amp;"*"))</f>
        <v/>
      </c>
    </row>
    <row r="700">
      <c r="C700">
        <f>IF('Change Request Form'!$N$34="",0,COUNTIF(B700,"*"&amp;'Change Request Form'!$N$34&amp;"*"))</f>
        <v/>
      </c>
    </row>
    <row r="701">
      <c r="C701">
        <f>IF('Change Request Form'!$N$34="",0,COUNTIF(B701,"*"&amp;'Change Request Form'!$N$34&amp;"*"))</f>
        <v/>
      </c>
    </row>
    <row r="702">
      <c r="C702">
        <f>IF('Change Request Form'!$N$34="",0,COUNTIF(B702,"*"&amp;'Change Request Form'!$N$34&amp;"*"))</f>
        <v/>
      </c>
    </row>
    <row r="703">
      <c r="C703">
        <f>IF('Change Request Form'!$N$34="",0,COUNTIF(B703,"*"&amp;'Change Request Form'!$N$34&amp;"*"))</f>
        <v/>
      </c>
    </row>
    <row r="704">
      <c r="C704">
        <f>IF('Change Request Form'!$N$34="",0,COUNTIF(B704,"*"&amp;'Change Request Form'!$N$34&amp;"*"))</f>
        <v/>
      </c>
    </row>
    <row r="705">
      <c r="C705">
        <f>IF('Change Request Form'!$N$34="",0,COUNTIF(B705,"*"&amp;'Change Request Form'!$N$34&amp;"*"))</f>
        <v/>
      </c>
    </row>
    <row r="706">
      <c r="C706">
        <f>IF('Change Request Form'!$N$34="",0,COUNTIF(B706,"*"&amp;'Change Request Form'!$N$34&amp;"*"))</f>
        <v/>
      </c>
    </row>
    <row r="707">
      <c r="C707">
        <f>IF('Change Request Form'!$N$34="",0,COUNTIF(B707,"*"&amp;'Change Request Form'!$N$34&amp;"*"))</f>
        <v/>
      </c>
    </row>
    <row r="708">
      <c r="C708">
        <f>IF('Change Request Form'!$N$34="",0,COUNTIF(B708,"*"&amp;'Change Request Form'!$N$34&amp;"*"))</f>
        <v/>
      </c>
    </row>
    <row r="709">
      <c r="C709">
        <f>IF('Change Request Form'!$N$34="",0,COUNTIF(B709,"*"&amp;'Change Request Form'!$N$34&amp;"*"))</f>
        <v/>
      </c>
    </row>
    <row r="710">
      <c r="C710">
        <f>IF('Change Request Form'!$N$34="",0,COUNTIF(B710,"*"&amp;'Change Request Form'!$N$34&amp;"*"))</f>
        <v/>
      </c>
    </row>
    <row r="711">
      <c r="C711">
        <f>IF('Change Request Form'!$N$34="",0,COUNTIF(B711,"*"&amp;'Change Request Form'!$N$34&amp;"*"))</f>
        <v/>
      </c>
    </row>
    <row r="712">
      <c r="C712">
        <f>IF('Change Request Form'!$N$34="",0,COUNTIF(B712,"*"&amp;'Change Request Form'!$N$34&amp;"*"))</f>
        <v/>
      </c>
    </row>
    <row r="713">
      <c r="C713">
        <f>IF('Change Request Form'!$N$34="",0,COUNTIF(B713,"*"&amp;'Change Request Form'!$N$34&amp;"*"))</f>
        <v/>
      </c>
    </row>
    <row r="714">
      <c r="C714">
        <f>IF('Change Request Form'!$N$34="",0,COUNTIF(B714,"*"&amp;'Change Request Form'!$N$34&amp;"*"))</f>
        <v/>
      </c>
    </row>
    <row r="715">
      <c r="C715">
        <f>IF('Change Request Form'!$N$34="",0,COUNTIF(B715,"*"&amp;'Change Request Form'!$N$34&amp;"*"))</f>
        <v/>
      </c>
    </row>
    <row r="716">
      <c r="C716">
        <f>IF('Change Request Form'!$N$34="",0,COUNTIF(B716,"*"&amp;'Change Request Form'!$N$34&amp;"*"))</f>
        <v/>
      </c>
    </row>
    <row r="717">
      <c r="C717">
        <f>IF('Change Request Form'!$N$34="",0,COUNTIF(B717,"*"&amp;'Change Request Form'!$N$34&amp;"*"))</f>
        <v/>
      </c>
    </row>
    <row r="718">
      <c r="C718">
        <f>IF('Change Request Form'!$N$34="",0,COUNTIF(B718,"*"&amp;'Change Request Form'!$N$34&amp;"*"))</f>
        <v/>
      </c>
    </row>
    <row r="719">
      <c r="C719">
        <f>IF('Change Request Form'!$N$34="",0,COUNTIF(B719,"*"&amp;'Change Request Form'!$N$34&amp;"*"))</f>
        <v/>
      </c>
    </row>
    <row r="720">
      <c r="C720">
        <f>IF('Change Request Form'!$N$34="",0,COUNTIF(B720,"*"&amp;'Change Request Form'!$N$34&amp;"*"))</f>
        <v/>
      </c>
    </row>
    <row r="721">
      <c r="C721">
        <f>IF('Change Request Form'!$N$34="",0,COUNTIF(B721,"*"&amp;'Change Request Form'!$N$34&amp;"*"))</f>
        <v/>
      </c>
    </row>
    <row r="722">
      <c r="C722">
        <f>IF('Change Request Form'!$N$34="",0,COUNTIF(B722,"*"&amp;'Change Request Form'!$N$34&amp;"*"))</f>
        <v/>
      </c>
    </row>
    <row r="723">
      <c r="C723">
        <f>IF('Change Request Form'!$N$34="",0,COUNTIF(B723,"*"&amp;'Change Request Form'!$N$34&amp;"*"))</f>
        <v/>
      </c>
    </row>
    <row r="724">
      <c r="C724">
        <f>IF('Change Request Form'!$N$34="",0,COUNTIF(B724,"*"&amp;'Change Request Form'!$N$34&amp;"*"))</f>
        <v/>
      </c>
    </row>
    <row r="725">
      <c r="C725">
        <f>IF('Change Request Form'!$N$34="",0,COUNTIF(B725,"*"&amp;'Change Request Form'!$N$34&amp;"*"))</f>
        <v/>
      </c>
    </row>
    <row r="726">
      <c r="C726">
        <f>IF('Change Request Form'!$N$34="",0,COUNTIF(B726,"*"&amp;'Change Request Form'!$N$34&amp;"*"))</f>
        <v/>
      </c>
    </row>
    <row r="727">
      <c r="C727">
        <f>IF('Change Request Form'!$N$34="",0,COUNTIF(B727,"*"&amp;'Change Request Form'!$N$34&amp;"*"))</f>
        <v/>
      </c>
    </row>
    <row r="728">
      <c r="C728">
        <f>IF('Change Request Form'!$N$34="",0,COUNTIF(B728,"*"&amp;'Change Request Form'!$N$34&amp;"*"))</f>
        <v/>
      </c>
    </row>
    <row r="729">
      <c r="C729">
        <f>IF('Change Request Form'!$N$34="",0,COUNTIF(B729,"*"&amp;'Change Request Form'!$N$34&amp;"*"))</f>
        <v/>
      </c>
    </row>
    <row r="730">
      <c r="C730">
        <f>IF('Change Request Form'!$N$34="",0,COUNTIF(B730,"*"&amp;'Change Request Form'!$N$34&amp;"*"))</f>
        <v/>
      </c>
    </row>
    <row r="731">
      <c r="C731">
        <f>IF('Change Request Form'!$N$34="",0,COUNTIF(B731,"*"&amp;'Change Request Form'!$N$34&amp;"*"))</f>
        <v/>
      </c>
    </row>
    <row r="732">
      <c r="C732">
        <f>IF('Change Request Form'!$N$34="",0,COUNTIF(B732,"*"&amp;'Change Request Form'!$N$34&amp;"*"))</f>
        <v/>
      </c>
    </row>
    <row r="733">
      <c r="C733">
        <f>IF('Change Request Form'!$N$34="",0,COUNTIF(B733,"*"&amp;'Change Request Form'!$N$34&amp;"*"))</f>
        <v/>
      </c>
    </row>
    <row r="734">
      <c r="C734">
        <f>IF('Change Request Form'!$N$34="",0,COUNTIF(B734,"*"&amp;'Change Request Form'!$N$34&amp;"*"))</f>
        <v/>
      </c>
    </row>
    <row r="735">
      <c r="C735">
        <f>IF('Change Request Form'!$N$34="",0,COUNTIF(B735,"*"&amp;'Change Request Form'!$N$34&amp;"*"))</f>
        <v/>
      </c>
    </row>
    <row r="736">
      <c r="C736">
        <f>IF('Change Request Form'!$N$34="",0,COUNTIF(B736,"*"&amp;'Change Request Form'!$N$34&amp;"*"))</f>
        <v/>
      </c>
    </row>
    <row r="737">
      <c r="C737">
        <f>IF('Change Request Form'!$N$34="",0,COUNTIF(B737,"*"&amp;'Change Request Form'!$N$34&amp;"*"))</f>
        <v/>
      </c>
    </row>
    <row r="738">
      <c r="C738">
        <f>IF('Change Request Form'!$N$34="",0,COUNTIF(B738,"*"&amp;'Change Request Form'!$N$34&amp;"*"))</f>
        <v/>
      </c>
    </row>
    <row r="739">
      <c r="C739">
        <f>IF('Change Request Form'!$N$34="",0,COUNTIF(B739,"*"&amp;'Change Request Form'!$N$34&amp;"*"))</f>
        <v/>
      </c>
    </row>
    <row r="740">
      <c r="C740">
        <f>IF('Change Request Form'!$N$34="",0,COUNTIF(B740,"*"&amp;'Change Request Form'!$N$34&amp;"*"))</f>
        <v/>
      </c>
    </row>
    <row r="741">
      <c r="C741">
        <f>IF('Change Request Form'!$N$34="",0,COUNTIF(B741,"*"&amp;'Change Request Form'!$N$34&amp;"*"))</f>
        <v/>
      </c>
    </row>
    <row r="742">
      <c r="C742">
        <f>IF('Change Request Form'!$N$34="",0,COUNTIF(B742,"*"&amp;'Change Request Form'!$N$34&amp;"*"))</f>
        <v/>
      </c>
    </row>
    <row r="743">
      <c r="C743">
        <f>IF('Change Request Form'!$N$34="",0,COUNTIF(B743,"*"&amp;'Change Request Form'!$N$34&amp;"*"))</f>
        <v/>
      </c>
    </row>
    <row r="744">
      <c r="C744">
        <f>IF('Change Request Form'!$N$34="",0,COUNTIF(B744,"*"&amp;'Change Request Form'!$N$34&amp;"*"))</f>
        <v/>
      </c>
    </row>
    <row r="745">
      <c r="C745">
        <f>IF('Change Request Form'!$N$34="",0,COUNTIF(B745,"*"&amp;'Change Request Form'!$N$34&amp;"*"))</f>
        <v/>
      </c>
    </row>
    <row r="746">
      <c r="C746">
        <f>IF('Change Request Form'!$N$34="",0,COUNTIF(B746,"*"&amp;'Change Request Form'!$N$34&amp;"*"))</f>
        <v/>
      </c>
    </row>
    <row r="747">
      <c r="C747">
        <f>IF('Change Request Form'!$N$34="",0,COUNTIF(B747,"*"&amp;'Change Request Form'!$N$34&amp;"*"))</f>
        <v/>
      </c>
    </row>
    <row r="748">
      <c r="C748">
        <f>IF('Change Request Form'!$N$34="",0,COUNTIF(B748,"*"&amp;'Change Request Form'!$N$34&amp;"*"))</f>
        <v/>
      </c>
    </row>
    <row r="749">
      <c r="C749">
        <f>IF('Change Request Form'!$N$34="",0,COUNTIF(B749,"*"&amp;'Change Request Form'!$N$34&amp;"*"))</f>
        <v/>
      </c>
    </row>
    <row r="750">
      <c r="C750">
        <f>IF('Change Request Form'!$N$34="",0,COUNTIF(B750,"*"&amp;'Change Request Form'!$N$34&amp;"*"))</f>
        <v/>
      </c>
    </row>
    <row r="751">
      <c r="C751">
        <f>IF('Change Request Form'!$N$34="",0,COUNTIF(B751,"*"&amp;'Change Request Form'!$N$34&amp;"*"))</f>
        <v/>
      </c>
    </row>
    <row r="752">
      <c r="C752">
        <f>IF('Change Request Form'!$N$34="",0,COUNTIF(B752,"*"&amp;'Change Request Form'!$N$34&amp;"*"))</f>
        <v/>
      </c>
    </row>
    <row r="753">
      <c r="C753">
        <f>IF('Change Request Form'!$N$34="",0,COUNTIF(B753,"*"&amp;'Change Request Form'!$N$34&amp;"*"))</f>
        <v/>
      </c>
    </row>
    <row r="754">
      <c r="C754">
        <f>IF('Change Request Form'!$N$34="",0,COUNTIF(B754,"*"&amp;'Change Request Form'!$N$34&amp;"*"))</f>
        <v/>
      </c>
    </row>
    <row r="755">
      <c r="C755">
        <f>IF('Change Request Form'!$N$34="",0,COUNTIF(B755,"*"&amp;'Change Request Form'!$N$34&amp;"*"))</f>
        <v/>
      </c>
    </row>
    <row r="756">
      <c r="C756">
        <f>IF('Change Request Form'!$N$34="",0,COUNTIF(B756,"*"&amp;'Change Request Form'!$N$34&amp;"*"))</f>
        <v/>
      </c>
    </row>
    <row r="757">
      <c r="C757">
        <f>IF('Change Request Form'!$N$34="",0,COUNTIF(B757,"*"&amp;'Change Request Form'!$N$34&amp;"*"))</f>
        <v/>
      </c>
    </row>
    <row r="758">
      <c r="C758">
        <f>IF('Change Request Form'!$N$34="",0,COUNTIF(B758,"*"&amp;'Change Request Form'!$N$34&amp;"*"))</f>
        <v/>
      </c>
    </row>
    <row r="759">
      <c r="C759">
        <f>IF('Change Request Form'!$N$34="",0,COUNTIF(B759,"*"&amp;'Change Request Form'!$N$34&amp;"*"))</f>
        <v/>
      </c>
    </row>
    <row r="760">
      <c r="C760">
        <f>IF('Change Request Form'!$N$34="",0,COUNTIF(B760,"*"&amp;'Change Request Form'!$N$34&amp;"*"))</f>
        <v/>
      </c>
    </row>
    <row r="761">
      <c r="C761">
        <f>IF('Change Request Form'!$N$34="",0,COUNTIF(B761,"*"&amp;'Change Request Form'!$N$34&amp;"*"))</f>
        <v/>
      </c>
    </row>
    <row r="762">
      <c r="C762">
        <f>IF('Change Request Form'!$N$34="",0,COUNTIF(B762,"*"&amp;'Change Request Form'!$N$34&amp;"*"))</f>
        <v/>
      </c>
    </row>
    <row r="763">
      <c r="C763">
        <f>IF('Change Request Form'!$N$34="",0,COUNTIF(B763,"*"&amp;'Change Request Form'!$N$34&amp;"*"))</f>
        <v/>
      </c>
    </row>
    <row r="764">
      <c r="C764">
        <f>IF('Change Request Form'!$N$34="",0,COUNTIF(B764,"*"&amp;'Change Request Form'!$N$34&amp;"*"))</f>
        <v/>
      </c>
    </row>
    <row r="765">
      <c r="C765">
        <f>IF('Change Request Form'!$N$34="",0,COUNTIF(B765,"*"&amp;'Change Request Form'!$N$34&amp;"*"))</f>
        <v/>
      </c>
    </row>
    <row r="766">
      <c r="C766">
        <f>IF('Change Request Form'!$N$34="",0,COUNTIF(B766,"*"&amp;'Change Request Form'!$N$34&amp;"*"))</f>
        <v/>
      </c>
    </row>
    <row r="767">
      <c r="C767">
        <f>IF('Change Request Form'!$N$34="",0,COUNTIF(B767,"*"&amp;'Change Request Form'!$N$34&amp;"*"))</f>
        <v/>
      </c>
    </row>
    <row r="768">
      <c r="C768">
        <f>IF('Change Request Form'!$N$34="",0,COUNTIF(B768,"*"&amp;'Change Request Form'!$N$34&amp;"*"))</f>
        <v/>
      </c>
    </row>
    <row r="769">
      <c r="C769">
        <f>IF('Change Request Form'!$N$34="",0,COUNTIF(B769,"*"&amp;'Change Request Form'!$N$34&amp;"*"))</f>
        <v/>
      </c>
    </row>
    <row r="770">
      <c r="C770">
        <f>IF('Change Request Form'!$N$34="",0,COUNTIF(B770,"*"&amp;'Change Request Form'!$N$34&amp;"*"))</f>
        <v/>
      </c>
    </row>
    <row r="771">
      <c r="C771">
        <f>IF('Change Request Form'!$N$34="",0,COUNTIF(B771,"*"&amp;'Change Request Form'!$N$34&amp;"*"))</f>
        <v/>
      </c>
    </row>
    <row r="772">
      <c r="C772">
        <f>IF('Change Request Form'!$N$34="",0,COUNTIF(B772,"*"&amp;'Change Request Form'!$N$34&amp;"*"))</f>
        <v/>
      </c>
    </row>
    <row r="773">
      <c r="C773">
        <f>IF('Change Request Form'!$N$34="",0,COUNTIF(B773,"*"&amp;'Change Request Form'!$N$34&amp;"*"))</f>
        <v/>
      </c>
    </row>
    <row r="774">
      <c r="C774">
        <f>IF('Change Request Form'!$N$34="",0,COUNTIF(B774,"*"&amp;'Change Request Form'!$N$34&amp;"*"))</f>
        <v/>
      </c>
    </row>
    <row r="775">
      <c r="C775">
        <f>IF('Change Request Form'!$N$34="",0,COUNTIF(B775,"*"&amp;'Change Request Form'!$N$34&amp;"*"))</f>
        <v/>
      </c>
    </row>
    <row r="776">
      <c r="C776">
        <f>IF('Change Request Form'!$N$34="",0,COUNTIF(B776,"*"&amp;'Change Request Form'!$N$34&amp;"*"))</f>
        <v/>
      </c>
    </row>
    <row r="777">
      <c r="C777">
        <f>IF('Change Request Form'!$N$34="",0,COUNTIF(B777,"*"&amp;'Change Request Form'!$N$34&amp;"*"))</f>
        <v/>
      </c>
    </row>
    <row r="778">
      <c r="C778">
        <f>IF('Change Request Form'!$N$34="",0,COUNTIF(B778,"*"&amp;'Change Request Form'!$N$34&amp;"*"))</f>
        <v/>
      </c>
    </row>
    <row r="779">
      <c r="C779">
        <f>IF('Change Request Form'!$N$34="",0,COUNTIF(B779,"*"&amp;'Change Request Form'!$N$34&amp;"*"))</f>
        <v/>
      </c>
    </row>
    <row r="780">
      <c r="C780">
        <f>IF('Change Request Form'!$N$34="",0,COUNTIF(B780,"*"&amp;'Change Request Form'!$N$34&amp;"*"))</f>
        <v/>
      </c>
    </row>
    <row r="781">
      <c r="C781">
        <f>IF('Change Request Form'!$N$34="",0,COUNTIF(B781,"*"&amp;'Change Request Form'!$N$34&amp;"*"))</f>
        <v/>
      </c>
    </row>
    <row r="782">
      <c r="C782">
        <f>IF('Change Request Form'!$N$34="",0,COUNTIF(B782,"*"&amp;'Change Request Form'!$N$34&amp;"*"))</f>
        <v/>
      </c>
    </row>
    <row r="783">
      <c r="C783">
        <f>IF('Change Request Form'!$N$34="",0,COUNTIF(B783,"*"&amp;'Change Request Form'!$N$34&amp;"*"))</f>
        <v/>
      </c>
    </row>
    <row r="784">
      <c r="C784">
        <f>IF('Change Request Form'!$N$34="",0,COUNTIF(B784,"*"&amp;'Change Request Form'!$N$34&amp;"*"))</f>
        <v/>
      </c>
    </row>
    <row r="785">
      <c r="C785">
        <f>IF('Change Request Form'!$N$34="",0,COUNTIF(B785,"*"&amp;'Change Request Form'!$N$34&amp;"*"))</f>
        <v/>
      </c>
    </row>
    <row r="786">
      <c r="C786">
        <f>IF('Change Request Form'!$N$34="",0,COUNTIF(B786,"*"&amp;'Change Request Form'!$N$34&amp;"*"))</f>
        <v/>
      </c>
    </row>
    <row r="787">
      <c r="C787">
        <f>IF('Change Request Form'!$N$34="",0,COUNTIF(B787,"*"&amp;'Change Request Form'!$N$34&amp;"*"))</f>
        <v/>
      </c>
    </row>
    <row r="788">
      <c r="C788">
        <f>IF('Change Request Form'!$N$34="",0,COUNTIF(B788,"*"&amp;'Change Request Form'!$N$34&amp;"*"))</f>
        <v/>
      </c>
    </row>
    <row r="789">
      <c r="C789">
        <f>IF('Change Request Form'!$N$34="",0,COUNTIF(B789,"*"&amp;'Change Request Form'!$N$34&amp;"*"))</f>
        <v/>
      </c>
    </row>
    <row r="790">
      <c r="C790">
        <f>IF('Change Request Form'!$N$34="",0,COUNTIF(B790,"*"&amp;'Change Request Form'!$N$34&amp;"*"))</f>
        <v/>
      </c>
    </row>
    <row r="791">
      <c r="C791">
        <f>IF('Change Request Form'!$N$34="",0,COUNTIF(B791,"*"&amp;'Change Request Form'!$N$34&amp;"*"))</f>
        <v/>
      </c>
    </row>
    <row r="792">
      <c r="C792">
        <f>IF('Change Request Form'!$N$34="",0,COUNTIF(B792,"*"&amp;'Change Request Form'!$N$34&amp;"*"))</f>
        <v/>
      </c>
    </row>
    <row r="793">
      <c r="C793">
        <f>IF('Change Request Form'!$N$34="",0,COUNTIF(B793,"*"&amp;'Change Request Form'!$N$34&amp;"*"))</f>
        <v/>
      </c>
    </row>
    <row r="794">
      <c r="C794">
        <f>IF('Change Request Form'!$N$34="",0,COUNTIF(B794,"*"&amp;'Change Request Form'!$N$34&amp;"*"))</f>
        <v/>
      </c>
    </row>
    <row r="795">
      <c r="C795">
        <f>IF('Change Request Form'!$N$34="",0,COUNTIF(B795,"*"&amp;'Change Request Form'!$N$34&amp;"*"))</f>
        <v/>
      </c>
    </row>
    <row r="796">
      <c r="C796">
        <f>IF('Change Request Form'!$N$34="",0,COUNTIF(B796,"*"&amp;'Change Request Form'!$N$34&amp;"*"))</f>
        <v/>
      </c>
    </row>
    <row r="797">
      <c r="C797">
        <f>IF('Change Request Form'!$N$34="",0,COUNTIF(B797,"*"&amp;'Change Request Form'!$N$34&amp;"*"))</f>
        <v/>
      </c>
    </row>
    <row r="798">
      <c r="C798">
        <f>IF('Change Request Form'!$N$34="",0,COUNTIF(B798,"*"&amp;'Change Request Form'!$N$34&amp;"*"))</f>
        <v/>
      </c>
    </row>
    <row r="799">
      <c r="C799">
        <f>IF('Change Request Form'!$N$34="",0,COUNTIF(B799,"*"&amp;'Change Request Form'!$N$34&amp;"*"))</f>
        <v/>
      </c>
    </row>
    <row r="800">
      <c r="C800">
        <f>IF('Change Request Form'!$N$34="",0,COUNTIF(B800,"*"&amp;'Change Request Form'!$N$34&amp;"*"))</f>
        <v/>
      </c>
    </row>
    <row r="801">
      <c r="C801">
        <f>IF('Change Request Form'!$N$34="",0,COUNTIF(B801,"*"&amp;'Change Request Form'!$N$34&amp;"*"))</f>
        <v/>
      </c>
    </row>
    <row r="802">
      <c r="C802">
        <f>IF('Change Request Form'!$N$34="",0,COUNTIF(B802,"*"&amp;'Change Request Form'!$N$34&amp;"*"))</f>
        <v/>
      </c>
    </row>
    <row r="803">
      <c r="C803">
        <f>IF('Change Request Form'!$N$34="",0,COUNTIF(B803,"*"&amp;'Change Request Form'!$N$34&amp;"*"))</f>
        <v/>
      </c>
    </row>
    <row r="804">
      <c r="C804">
        <f>IF('Change Request Form'!$N$34="",0,COUNTIF(B804,"*"&amp;'Change Request Form'!$N$34&amp;"*"))</f>
        <v/>
      </c>
    </row>
    <row r="805">
      <c r="C805">
        <f>IF('Change Request Form'!$N$34="",0,COUNTIF(B805,"*"&amp;'Change Request Form'!$N$34&amp;"*"))</f>
        <v/>
      </c>
    </row>
    <row r="806">
      <c r="C806">
        <f>IF('Change Request Form'!$N$34="",0,COUNTIF(B806,"*"&amp;'Change Request Form'!$N$34&amp;"*"))</f>
        <v/>
      </c>
    </row>
    <row r="807">
      <c r="C807">
        <f>IF('Change Request Form'!$N$34="",0,COUNTIF(B807,"*"&amp;'Change Request Form'!$N$34&amp;"*"))</f>
        <v/>
      </c>
    </row>
    <row r="808">
      <c r="C808">
        <f>IF('Change Request Form'!$N$34="",0,COUNTIF(B808,"*"&amp;'Change Request Form'!$N$34&amp;"*"))</f>
        <v/>
      </c>
    </row>
    <row r="809">
      <c r="C809">
        <f>IF('Change Request Form'!$N$34="",0,COUNTIF(B809,"*"&amp;'Change Request Form'!$N$34&amp;"*"))</f>
        <v/>
      </c>
    </row>
    <row r="810">
      <c r="C810">
        <f>IF('Change Request Form'!$N$34="",0,COUNTIF(B810,"*"&amp;'Change Request Form'!$N$34&amp;"*"))</f>
        <v/>
      </c>
    </row>
    <row r="811">
      <c r="C811">
        <f>IF('Change Request Form'!$N$34="",0,COUNTIF(B811,"*"&amp;'Change Request Form'!$N$34&amp;"*"))</f>
        <v/>
      </c>
    </row>
    <row r="812">
      <c r="C812">
        <f>IF('Change Request Form'!$N$34="",0,COUNTIF(B812,"*"&amp;'Change Request Form'!$N$34&amp;"*"))</f>
        <v/>
      </c>
    </row>
    <row r="813">
      <c r="C813">
        <f>IF('Change Request Form'!$N$34="",0,COUNTIF(B813,"*"&amp;'Change Request Form'!$N$34&amp;"*"))</f>
        <v/>
      </c>
    </row>
    <row r="814">
      <c r="C814">
        <f>IF('Change Request Form'!$N$34="",0,COUNTIF(B814,"*"&amp;'Change Request Form'!$N$34&amp;"*"))</f>
        <v/>
      </c>
    </row>
    <row r="815">
      <c r="C815">
        <f>IF('Change Request Form'!$N$34="",0,COUNTIF(B815,"*"&amp;'Change Request Form'!$N$34&amp;"*"))</f>
        <v/>
      </c>
    </row>
    <row r="816">
      <c r="C816">
        <f>IF('Change Request Form'!$N$34="",0,COUNTIF(B816,"*"&amp;'Change Request Form'!$N$34&amp;"*"))</f>
        <v/>
      </c>
    </row>
    <row r="817">
      <c r="C817">
        <f>IF('Change Request Form'!$N$34="",0,COUNTIF(B817,"*"&amp;'Change Request Form'!$N$34&amp;"*"))</f>
        <v/>
      </c>
    </row>
    <row r="818">
      <c r="C818">
        <f>IF('Change Request Form'!$N$34="",0,COUNTIF(B818,"*"&amp;'Change Request Form'!$N$34&amp;"*"))</f>
        <v/>
      </c>
    </row>
    <row r="819">
      <c r="C819">
        <f>IF('Change Request Form'!$N$34="",0,COUNTIF(B819,"*"&amp;'Change Request Form'!$N$34&amp;"*"))</f>
        <v/>
      </c>
    </row>
    <row r="820">
      <c r="C820">
        <f>IF('Change Request Form'!$N$34="",0,COUNTIF(B820,"*"&amp;'Change Request Form'!$N$34&amp;"*"))</f>
        <v/>
      </c>
    </row>
    <row r="821">
      <c r="C821">
        <f>IF('Change Request Form'!$N$34="",0,COUNTIF(B821,"*"&amp;'Change Request Form'!$N$34&amp;"*"))</f>
        <v/>
      </c>
    </row>
    <row r="822">
      <c r="C822">
        <f>IF('Change Request Form'!$N$34="",0,COUNTIF(B822,"*"&amp;'Change Request Form'!$N$34&amp;"*"))</f>
        <v/>
      </c>
    </row>
    <row r="823">
      <c r="C823">
        <f>IF('Change Request Form'!$N$34="",0,COUNTIF(B823,"*"&amp;'Change Request Form'!$N$34&amp;"*"))</f>
        <v/>
      </c>
    </row>
    <row r="824">
      <c r="C824">
        <f>IF('Change Request Form'!$N$34="",0,COUNTIF(B824,"*"&amp;'Change Request Form'!$N$34&amp;"*"))</f>
        <v/>
      </c>
    </row>
    <row r="825">
      <c r="C825">
        <f>IF('Change Request Form'!$N$34="",0,COUNTIF(B825,"*"&amp;'Change Request Form'!$N$34&amp;"*"))</f>
        <v/>
      </c>
    </row>
    <row r="826">
      <c r="C826">
        <f>IF('Change Request Form'!$N$34="",0,COUNTIF(B826,"*"&amp;'Change Request Form'!$N$34&amp;"*"))</f>
        <v/>
      </c>
    </row>
    <row r="827">
      <c r="C827">
        <f>IF('Change Request Form'!$N$34="",0,COUNTIF(B827,"*"&amp;'Change Request Form'!$N$34&amp;"*"))</f>
        <v/>
      </c>
    </row>
    <row r="828">
      <c r="C828">
        <f>IF('Change Request Form'!$N$34="",0,COUNTIF(B828,"*"&amp;'Change Request Form'!$N$34&amp;"*"))</f>
        <v/>
      </c>
    </row>
    <row r="829">
      <c r="C829">
        <f>IF('Change Request Form'!$N$34="",0,COUNTIF(B829,"*"&amp;'Change Request Form'!$N$34&amp;"*"))</f>
        <v/>
      </c>
    </row>
    <row r="830">
      <c r="C830">
        <f>IF('Change Request Form'!$N$34="",0,COUNTIF(B830,"*"&amp;'Change Request Form'!$N$34&amp;"*"))</f>
        <v/>
      </c>
    </row>
    <row r="831">
      <c r="C831">
        <f>IF('Change Request Form'!$N$34="",0,COUNTIF(B831,"*"&amp;'Change Request Form'!$N$34&amp;"*"))</f>
        <v/>
      </c>
    </row>
    <row r="832">
      <c r="C832">
        <f>IF('Change Request Form'!$N$34="",0,COUNTIF(B832,"*"&amp;'Change Request Form'!$N$34&amp;"*"))</f>
        <v/>
      </c>
    </row>
    <row r="833">
      <c r="C833">
        <f>IF('Change Request Form'!$N$34="",0,COUNTIF(B833,"*"&amp;'Change Request Form'!$N$34&amp;"*"))</f>
        <v/>
      </c>
    </row>
    <row r="834">
      <c r="C834">
        <f>IF('Change Request Form'!$N$34="",0,COUNTIF(B834,"*"&amp;'Change Request Form'!$N$34&amp;"*"))</f>
        <v/>
      </c>
    </row>
    <row r="835">
      <c r="C835">
        <f>IF('Change Request Form'!$N$34="",0,COUNTIF(B835,"*"&amp;'Change Request Form'!$N$34&amp;"*"))</f>
        <v/>
      </c>
    </row>
    <row r="836">
      <c r="C836">
        <f>IF('Change Request Form'!$N$34="",0,COUNTIF(B836,"*"&amp;'Change Request Form'!$N$34&amp;"*"))</f>
        <v/>
      </c>
    </row>
    <row r="837">
      <c r="C837">
        <f>IF('Change Request Form'!$N$34="",0,COUNTIF(B837,"*"&amp;'Change Request Form'!$N$34&amp;"*"))</f>
        <v/>
      </c>
    </row>
    <row r="838">
      <c r="C838">
        <f>IF('Change Request Form'!$N$34="",0,COUNTIF(B838,"*"&amp;'Change Request Form'!$N$34&amp;"*"))</f>
        <v/>
      </c>
    </row>
    <row r="839">
      <c r="C839">
        <f>IF('Change Request Form'!$N$34="",0,COUNTIF(B839,"*"&amp;'Change Request Form'!$N$34&amp;"*"))</f>
        <v/>
      </c>
    </row>
    <row r="840">
      <c r="C840">
        <f>IF('Change Request Form'!$N$34="",0,COUNTIF(B840,"*"&amp;'Change Request Form'!$N$34&amp;"*"))</f>
        <v/>
      </c>
    </row>
    <row r="841">
      <c r="C841">
        <f>IF('Change Request Form'!$N$34="",0,COUNTIF(B841,"*"&amp;'Change Request Form'!$N$34&amp;"*"))</f>
        <v/>
      </c>
    </row>
    <row r="842">
      <c r="C842">
        <f>IF('Change Request Form'!$N$34="",0,COUNTIF(B842,"*"&amp;'Change Request Form'!$N$34&amp;"*"))</f>
        <v/>
      </c>
    </row>
    <row r="843">
      <c r="C843">
        <f>IF('Change Request Form'!$N$34="",0,COUNTIF(B843,"*"&amp;'Change Request Form'!$N$34&amp;"*"))</f>
        <v/>
      </c>
    </row>
    <row r="844">
      <c r="C844">
        <f>IF('Change Request Form'!$N$34="",0,COUNTIF(B844,"*"&amp;'Change Request Form'!$N$34&amp;"*"))</f>
        <v/>
      </c>
    </row>
    <row r="845">
      <c r="C845">
        <f>IF('Change Request Form'!$N$34="",0,COUNTIF(B845,"*"&amp;'Change Request Form'!$N$34&amp;"*"))</f>
        <v/>
      </c>
    </row>
    <row r="846">
      <c r="C846">
        <f>IF('Change Request Form'!$N$34="",0,COUNTIF(B846,"*"&amp;'Change Request Form'!$N$34&amp;"*"))</f>
        <v/>
      </c>
    </row>
    <row r="847">
      <c r="C847">
        <f>IF('Change Request Form'!$N$34="",0,COUNTIF(B847,"*"&amp;'Change Request Form'!$N$34&amp;"*"))</f>
        <v/>
      </c>
    </row>
    <row r="848">
      <c r="C848">
        <f>IF('Change Request Form'!$N$34="",0,COUNTIF(B848,"*"&amp;'Change Request Form'!$N$34&amp;"*"))</f>
        <v/>
      </c>
    </row>
    <row r="849">
      <c r="C849">
        <f>IF('Change Request Form'!$N$34="",0,COUNTIF(B849,"*"&amp;'Change Request Form'!$N$34&amp;"*"))</f>
        <v/>
      </c>
    </row>
    <row r="850">
      <c r="C850">
        <f>IF('Change Request Form'!$N$34="",0,COUNTIF(B850,"*"&amp;'Change Request Form'!$N$34&amp;"*"))</f>
        <v/>
      </c>
    </row>
    <row r="851">
      <c r="C851">
        <f>IF('Change Request Form'!$N$34="",0,COUNTIF(B851,"*"&amp;'Change Request Form'!$N$34&amp;"*"))</f>
        <v/>
      </c>
    </row>
    <row r="852">
      <c r="C852">
        <f>IF('Change Request Form'!$N$34="",0,COUNTIF(B852,"*"&amp;'Change Request Form'!$N$34&amp;"*"))</f>
        <v/>
      </c>
    </row>
    <row r="853">
      <c r="C853">
        <f>IF('Change Request Form'!$N$34="",0,COUNTIF(B853,"*"&amp;'Change Request Form'!$N$34&amp;"*"))</f>
        <v/>
      </c>
    </row>
    <row r="854">
      <c r="C854">
        <f>IF('Change Request Form'!$N$34="",0,COUNTIF(B854,"*"&amp;'Change Request Form'!$N$34&amp;"*"))</f>
        <v/>
      </c>
    </row>
    <row r="855">
      <c r="C855">
        <f>IF('Change Request Form'!$N$34="",0,COUNTIF(B855,"*"&amp;'Change Request Form'!$N$34&amp;"*"))</f>
        <v/>
      </c>
    </row>
    <row r="856">
      <c r="C856">
        <f>IF('Change Request Form'!$N$34="",0,COUNTIF(B856,"*"&amp;'Change Request Form'!$N$34&amp;"*"))</f>
        <v/>
      </c>
    </row>
    <row r="857">
      <c r="C857">
        <f>IF('Change Request Form'!$N$34="",0,COUNTIF(B857,"*"&amp;'Change Request Form'!$N$34&amp;"*"))</f>
        <v/>
      </c>
    </row>
    <row r="858">
      <c r="C858">
        <f>IF('Change Request Form'!$N$34="",0,COUNTIF(B858,"*"&amp;'Change Request Form'!$N$34&amp;"*"))</f>
        <v/>
      </c>
    </row>
    <row r="859">
      <c r="C859">
        <f>IF('Change Request Form'!$N$34="",0,COUNTIF(B859,"*"&amp;'Change Request Form'!$N$34&amp;"*"))</f>
        <v/>
      </c>
    </row>
    <row r="860">
      <c r="C860">
        <f>IF('Change Request Form'!$N$34="",0,COUNTIF(B860,"*"&amp;'Change Request Form'!$N$34&amp;"*"))</f>
        <v/>
      </c>
    </row>
    <row r="861">
      <c r="C861">
        <f>IF('Change Request Form'!$N$34="",0,COUNTIF(B861,"*"&amp;'Change Request Form'!$N$34&amp;"*"))</f>
        <v/>
      </c>
    </row>
    <row r="862">
      <c r="C862">
        <f>IF('Change Request Form'!$N$34="",0,COUNTIF(B862,"*"&amp;'Change Request Form'!$N$34&amp;"*"))</f>
        <v/>
      </c>
    </row>
    <row r="863">
      <c r="C863">
        <f>IF('Change Request Form'!$N$34="",0,COUNTIF(B863,"*"&amp;'Change Request Form'!$N$34&amp;"*"))</f>
        <v/>
      </c>
    </row>
    <row r="864">
      <c r="C864">
        <f>IF('Change Request Form'!$N$34="",0,COUNTIF(B864,"*"&amp;'Change Request Form'!$N$34&amp;"*"))</f>
        <v/>
      </c>
    </row>
    <row r="865">
      <c r="C865">
        <f>IF('Change Request Form'!$N$34="",0,COUNTIF(B865,"*"&amp;'Change Request Form'!$N$34&amp;"*"))</f>
        <v/>
      </c>
    </row>
    <row r="866">
      <c r="C866">
        <f>IF('Change Request Form'!$N$34="",0,COUNTIF(B866,"*"&amp;'Change Request Form'!$N$34&amp;"*"))</f>
        <v/>
      </c>
    </row>
    <row r="867">
      <c r="C867">
        <f>IF('Change Request Form'!$N$34="",0,COUNTIF(B867,"*"&amp;'Change Request Form'!$N$34&amp;"*"))</f>
        <v/>
      </c>
    </row>
    <row r="868">
      <c r="C868">
        <f>IF('Change Request Form'!$N$34="",0,COUNTIF(B868,"*"&amp;'Change Request Form'!$N$34&amp;"*"))</f>
        <v/>
      </c>
    </row>
    <row r="869">
      <c r="C869">
        <f>IF('Change Request Form'!$N$34="",0,COUNTIF(B869,"*"&amp;'Change Request Form'!$N$34&amp;"*"))</f>
        <v/>
      </c>
    </row>
  </sheetData>
  <autoFilter ref="A1:C869">
    <sortState ref="A2:C869">
      <sortCondition ref="B1:B869"/>
    </sortState>
  </autoFilter>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lyn1</dc:creator>
  <dcterms:created xsi:type="dcterms:W3CDTF">2010-07-14T06:26:53Z</dcterms:created>
  <dcterms:modified xsi:type="dcterms:W3CDTF">2026-01-24T08:23:51Z</dcterms:modified>
  <cp:lastModifiedBy>Ashley Micallef</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0x010100D976299DF5228E43A815C5F7DB1024D9</vt:lpwstr>
  </property>
</Properties>
</file>